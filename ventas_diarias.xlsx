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\Documents\toteat_automation\"/>
    </mc:Choice>
  </mc:AlternateContent>
  <xr:revisionPtr revIDLastSave="0" documentId="8_{39520F46-BB8E-46F8-9AA2-A91260D192D9}" xr6:coauthVersionLast="47" xr6:coauthVersionMax="47" xr10:uidLastSave="{00000000-0000-0000-0000-000000000000}"/>
  <bookViews>
    <workbookView xWindow="28680" yWindow="1245" windowWidth="20730" windowHeight="11040" xr2:uid="{952B1F55-0FB2-4548-8E54-471B54B011F4}"/>
  </bookViews>
  <sheets>
    <sheet name="INF DIARIO 15" sheetId="1" r:id="rId1"/>
  </sheets>
  <externalReferences>
    <externalReference r:id="rId2"/>
  </externalReferences>
  <definedNames>
    <definedName name="_xlnm._FilterDatabase" localSheetId="0" hidden="1">'INF DIARIO 15'!$C$44:$AL$54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6" i="1" l="1"/>
  <c r="G54" i="1"/>
  <c r="AE54" i="1" s="1"/>
  <c r="E54" i="1"/>
  <c r="AJ53" i="1"/>
  <c r="E53" i="1"/>
  <c r="G53" i="1" s="1"/>
  <c r="AJ52" i="1"/>
  <c r="G52" i="1"/>
  <c r="AE52" i="1" s="1"/>
  <c r="E52" i="1"/>
  <c r="F52" i="1" s="1"/>
  <c r="AJ51" i="1"/>
  <c r="E51" i="1"/>
  <c r="G51" i="1" s="1"/>
  <c r="AJ50" i="1"/>
  <c r="G50" i="1"/>
  <c r="AE50" i="1" s="1"/>
  <c r="E50" i="1"/>
  <c r="AJ49" i="1"/>
  <c r="E49" i="1"/>
  <c r="G49" i="1" s="1"/>
  <c r="AJ48" i="1"/>
  <c r="G48" i="1"/>
  <c r="AE48" i="1" s="1"/>
  <c r="E48" i="1"/>
  <c r="AJ47" i="1"/>
  <c r="E47" i="1"/>
  <c r="G47" i="1" s="1"/>
  <c r="AJ46" i="1"/>
  <c r="G46" i="1"/>
  <c r="AE46" i="1" s="1"/>
  <c r="E46" i="1"/>
  <c r="AJ45" i="1"/>
  <c r="E45" i="1"/>
  <c r="G45" i="1" s="1"/>
  <c r="AE41" i="1"/>
  <c r="AK41" i="1" s="1"/>
  <c r="G41" i="1"/>
  <c r="E41" i="1"/>
  <c r="G40" i="1"/>
  <c r="AE40" i="1" s="1"/>
  <c r="E40" i="1"/>
  <c r="G39" i="1"/>
  <c r="AE39" i="1" s="1"/>
  <c r="E39" i="1"/>
  <c r="AI38" i="1"/>
  <c r="AI37" i="1"/>
  <c r="AI42" i="1" s="1"/>
  <c r="AJ37" i="1" s="1"/>
  <c r="AJ42" i="1" s="1"/>
  <c r="AI35" i="1"/>
  <c r="AJ54" i="1" s="1"/>
  <c r="E35" i="1"/>
  <c r="F54" i="1" s="1"/>
  <c r="G34" i="1"/>
  <c r="AE34" i="1" s="1"/>
  <c r="E34" i="1"/>
  <c r="AE33" i="1"/>
  <c r="AE35" i="1" s="1"/>
  <c r="AF33" i="1" s="1"/>
  <c r="G33" i="1"/>
  <c r="E33" i="1"/>
  <c r="E32" i="1"/>
  <c r="G32" i="1" s="1"/>
  <c r="H30" i="1" s="1"/>
  <c r="G31" i="1"/>
  <c r="AE31" i="1" s="1"/>
  <c r="E31" i="1"/>
  <c r="AE30" i="1"/>
  <c r="AE32" i="1" s="1"/>
  <c r="AF30" i="1" s="1"/>
  <c r="G30" i="1"/>
  <c r="E30" i="1"/>
  <c r="E29" i="1"/>
  <c r="G29" i="1" s="1"/>
  <c r="H28" i="1" s="1"/>
  <c r="AJ28" i="1"/>
  <c r="AE28" i="1"/>
  <c r="AK28" i="1" s="1"/>
  <c r="G28" i="1"/>
  <c r="E28" i="1"/>
  <c r="AJ27" i="1"/>
  <c r="AJ29" i="1" s="1"/>
  <c r="E27" i="1"/>
  <c r="E37" i="1" s="1"/>
  <c r="E25" i="1"/>
  <c r="G25" i="1" s="1"/>
  <c r="E24" i="1"/>
  <c r="E26" i="1" s="1"/>
  <c r="AJ23" i="1"/>
  <c r="AJ22" i="1"/>
  <c r="G22" i="1"/>
  <c r="AE22" i="1" s="1"/>
  <c r="E22" i="1"/>
  <c r="F22" i="1" s="1"/>
  <c r="AJ21" i="1"/>
  <c r="AE21" i="1"/>
  <c r="AK21" i="1" s="1"/>
  <c r="G21" i="1"/>
  <c r="E21" i="1"/>
  <c r="E23" i="1" s="1"/>
  <c r="AJ20" i="1"/>
  <c r="AJ19" i="1"/>
  <c r="AE19" i="1"/>
  <c r="AK19" i="1" s="1"/>
  <c r="G19" i="1"/>
  <c r="E19" i="1"/>
  <c r="AJ18" i="1"/>
  <c r="G18" i="1"/>
  <c r="AE18" i="1" s="1"/>
  <c r="E18" i="1"/>
  <c r="E20" i="1" s="1"/>
  <c r="G20" i="1" s="1"/>
  <c r="H19" i="1" s="1"/>
  <c r="AJ16" i="1"/>
  <c r="E16" i="1"/>
  <c r="G16" i="1" s="1"/>
  <c r="AJ15" i="1"/>
  <c r="AJ17" i="1" s="1"/>
  <c r="AE15" i="1"/>
  <c r="AK15" i="1" s="1"/>
  <c r="G15" i="1"/>
  <c r="E15" i="1"/>
  <c r="G14" i="1"/>
  <c r="H13" i="1" s="1"/>
  <c r="E14" i="1"/>
  <c r="F47" i="1" s="1"/>
  <c r="AJ13" i="1"/>
  <c r="AE13" i="1"/>
  <c r="AK13" i="1" s="1"/>
  <c r="G13" i="1"/>
  <c r="E13" i="1"/>
  <c r="AJ12" i="1"/>
  <c r="AJ14" i="1" s="1"/>
  <c r="E12" i="1"/>
  <c r="G12" i="1" s="1"/>
  <c r="AJ11" i="1"/>
  <c r="AJ10" i="1"/>
  <c r="G10" i="1"/>
  <c r="AE10" i="1" s="1"/>
  <c r="E10" i="1"/>
  <c r="E38" i="1" s="1"/>
  <c r="AJ9" i="1"/>
  <c r="AE9" i="1"/>
  <c r="AK9" i="1" s="1"/>
  <c r="G9" i="1"/>
  <c r="E9" i="1"/>
  <c r="E11" i="1" s="1"/>
  <c r="AJ8" i="1"/>
  <c r="AJ7" i="1"/>
  <c r="AE7" i="1"/>
  <c r="AK7" i="1" s="1"/>
  <c r="G7" i="1"/>
  <c r="E7" i="1"/>
  <c r="AJ6" i="1"/>
  <c r="G6" i="1"/>
  <c r="AE6" i="1" s="1"/>
  <c r="E6" i="1"/>
  <c r="E8" i="1" s="1"/>
  <c r="AK52" i="1" l="1"/>
  <c r="F33" i="1"/>
  <c r="F35" i="1" s="1"/>
  <c r="F30" i="1"/>
  <c r="F19" i="1"/>
  <c r="F15" i="1"/>
  <c r="F7" i="1"/>
  <c r="G8" i="1"/>
  <c r="H7" i="1" s="1"/>
  <c r="F27" i="1"/>
  <c r="F29" i="1" s="1"/>
  <c r="F24" i="1"/>
  <c r="F26" i="1" s="1"/>
  <c r="F16" i="1"/>
  <c r="F12" i="1"/>
  <c r="F14" i="1" s="1"/>
  <c r="F34" i="1"/>
  <c r="F31" i="1"/>
  <c r="F28" i="1"/>
  <c r="F21" i="1"/>
  <c r="F23" i="1" s="1"/>
  <c r="F13" i="1"/>
  <c r="F9" i="1"/>
  <c r="F11" i="1" s="1"/>
  <c r="E42" i="1"/>
  <c r="F38" i="1" s="1"/>
  <c r="F37" i="1"/>
  <c r="H32" i="1"/>
  <c r="F48" i="1"/>
  <c r="AE47" i="1"/>
  <c r="H47" i="1"/>
  <c r="AE25" i="1"/>
  <c r="AF31" i="1"/>
  <c r="AK31" i="1"/>
  <c r="AK39" i="1"/>
  <c r="AF41" i="1"/>
  <c r="AE8" i="1"/>
  <c r="AF7" i="1" s="1"/>
  <c r="AK6" i="1"/>
  <c r="AF6" i="1"/>
  <c r="AF8" i="1" s="1"/>
  <c r="AK10" i="1"/>
  <c r="AK40" i="1"/>
  <c r="AK48" i="1"/>
  <c r="H53" i="1"/>
  <c r="AE53" i="1"/>
  <c r="AK50" i="1"/>
  <c r="AE20" i="1"/>
  <c r="AF19" i="1" s="1"/>
  <c r="AK18" i="1"/>
  <c r="AK22" i="1"/>
  <c r="AK23" i="1" s="1"/>
  <c r="AL21" i="1" s="1"/>
  <c r="AF22" i="1"/>
  <c r="F46" i="1"/>
  <c r="G11" i="1"/>
  <c r="AK46" i="1"/>
  <c r="AE51" i="1"/>
  <c r="H51" i="1"/>
  <c r="AF32" i="1"/>
  <c r="AJ38" i="1"/>
  <c r="AK11" i="1"/>
  <c r="AL9" i="1" s="1"/>
  <c r="F51" i="1"/>
  <c r="G26" i="1"/>
  <c r="H25" i="1" s="1"/>
  <c r="G38" i="1"/>
  <c r="H49" i="1"/>
  <c r="AE49" i="1"/>
  <c r="F50" i="1"/>
  <c r="G23" i="1"/>
  <c r="H22" i="1" s="1"/>
  <c r="AE12" i="1"/>
  <c r="H12" i="1"/>
  <c r="H14" i="1" s="1"/>
  <c r="AE16" i="1"/>
  <c r="H16" i="1"/>
  <c r="AF54" i="1"/>
  <c r="AK54" i="1"/>
  <c r="AF34" i="1"/>
  <c r="AF35" i="1" s="1"/>
  <c r="AK34" i="1"/>
  <c r="H45" i="1"/>
  <c r="G56" i="1"/>
  <c r="AE45" i="1"/>
  <c r="AJ56" i="1"/>
  <c r="F6" i="1"/>
  <c r="F10" i="1"/>
  <c r="AE11" i="1"/>
  <c r="AF10" i="1" s="1"/>
  <c r="F18" i="1"/>
  <c r="F20" i="1" s="1"/>
  <c r="AE23" i="1"/>
  <c r="AF50" i="1" s="1"/>
  <c r="H48" i="1"/>
  <c r="H52" i="1"/>
  <c r="E56" i="1"/>
  <c r="F56" i="1" s="1"/>
  <c r="H6" i="1"/>
  <c r="H8" i="1" s="1"/>
  <c r="H10" i="1"/>
  <c r="E17" i="1"/>
  <c r="G17" i="1" s="1"/>
  <c r="H15" i="1" s="1"/>
  <c r="H18" i="1"/>
  <c r="H20" i="1" s="1"/>
  <c r="F25" i="1"/>
  <c r="AK30" i="1"/>
  <c r="AK33" i="1"/>
  <c r="G35" i="1"/>
  <c r="H33" i="1" s="1"/>
  <c r="H54" i="1"/>
  <c r="AF9" i="1"/>
  <c r="AF21" i="1"/>
  <c r="G24" i="1"/>
  <c r="G27" i="1"/>
  <c r="H31" i="1"/>
  <c r="F45" i="1"/>
  <c r="F49" i="1"/>
  <c r="F53" i="1"/>
  <c r="AL23" i="1" l="1"/>
  <c r="AK49" i="1"/>
  <c r="AF49" i="1"/>
  <c r="AL50" i="1"/>
  <c r="F42" i="1"/>
  <c r="AK51" i="1"/>
  <c r="AK35" i="1"/>
  <c r="AL54" i="1" s="1"/>
  <c r="AL33" i="1"/>
  <c r="AL46" i="1"/>
  <c r="AK53" i="1"/>
  <c r="AF53" i="1"/>
  <c r="AK32" i="1"/>
  <c r="AL30" i="1" s="1"/>
  <c r="AL32" i="1" s="1"/>
  <c r="AE38" i="1"/>
  <c r="AF46" i="1"/>
  <c r="F17" i="1"/>
  <c r="H34" i="1"/>
  <c r="H35" i="1" s="1"/>
  <c r="AL31" i="1"/>
  <c r="F8" i="1"/>
  <c r="H46" i="1"/>
  <c r="H9" i="1"/>
  <c r="H11" i="1" s="1"/>
  <c r="F32" i="1"/>
  <c r="AK20" i="1"/>
  <c r="AL19" i="1" s="1"/>
  <c r="AK8" i="1"/>
  <c r="AL7" i="1" s="1"/>
  <c r="H50" i="1"/>
  <c r="H21" i="1"/>
  <c r="H23" i="1" s="1"/>
  <c r="AF11" i="1"/>
  <c r="AE27" i="1"/>
  <c r="H27" i="1"/>
  <c r="H29" i="1" s="1"/>
  <c r="G37" i="1"/>
  <c r="H17" i="1"/>
  <c r="AE56" i="1"/>
  <c r="AK45" i="1"/>
  <c r="AF45" i="1"/>
  <c r="AE17" i="1"/>
  <c r="AK16" i="1"/>
  <c r="AF16" i="1"/>
  <c r="AK25" i="1"/>
  <c r="AE24" i="1"/>
  <c r="H24" i="1"/>
  <c r="H26" i="1" s="1"/>
  <c r="AL22" i="1"/>
  <c r="AF23" i="1"/>
  <c r="AE14" i="1"/>
  <c r="AF13" i="1" s="1"/>
  <c r="AK12" i="1"/>
  <c r="AF12" i="1"/>
  <c r="AF14" i="1" s="1"/>
  <c r="AF18" i="1"/>
  <c r="AF20" i="1" s="1"/>
  <c r="AL10" i="1"/>
  <c r="AL11" i="1" s="1"/>
  <c r="AK47" i="1"/>
  <c r="AF47" i="1"/>
  <c r="AE29" i="1" l="1"/>
  <c r="AF27" i="1" s="1"/>
  <c r="AK27" i="1"/>
  <c r="AL47" i="1"/>
  <c r="AL34" i="1"/>
  <c r="AK17" i="1"/>
  <c r="AK14" i="1"/>
  <c r="AL13" i="1" s="1"/>
  <c r="AL12" i="1"/>
  <c r="AL14" i="1" s="1"/>
  <c r="AL6" i="1"/>
  <c r="AL8" i="1" s="1"/>
  <c r="AL45" i="1"/>
  <c r="AL18" i="1"/>
  <c r="AL20" i="1" s="1"/>
  <c r="AK38" i="1"/>
  <c r="AF40" i="1"/>
  <c r="AF39" i="1"/>
  <c r="AK56" i="1"/>
  <c r="AE26" i="1"/>
  <c r="AK24" i="1"/>
  <c r="AF24" i="1"/>
  <c r="AL35" i="1"/>
  <c r="AF15" i="1"/>
  <c r="AF17" i="1" s="1"/>
  <c r="AF48" i="1"/>
  <c r="AE37" i="1"/>
  <c r="H37" i="1"/>
  <c r="G42" i="1"/>
  <c r="AL49" i="1"/>
  <c r="AL53" i="1"/>
  <c r="AK26" i="1" l="1"/>
  <c r="AL24" i="1"/>
  <c r="AF25" i="1"/>
  <c r="AF51" i="1"/>
  <c r="AL15" i="1"/>
  <c r="AL48" i="1"/>
  <c r="AL16" i="1"/>
  <c r="AF26" i="1"/>
  <c r="H56" i="1"/>
  <c r="H38" i="1"/>
  <c r="H42" i="1" s="1"/>
  <c r="AK37" i="1"/>
  <c r="AE42" i="1"/>
  <c r="AK29" i="1"/>
  <c r="AL27" i="1"/>
  <c r="AF52" i="1"/>
  <c r="AF28" i="1"/>
  <c r="AF29" i="1" s="1"/>
  <c r="AL29" i="1" l="1"/>
  <c r="AL28" i="1"/>
  <c r="AL52" i="1"/>
  <c r="AL17" i="1"/>
  <c r="AF38" i="1"/>
  <c r="AF56" i="1"/>
  <c r="AF37" i="1"/>
  <c r="AF42" i="1" s="1"/>
  <c r="AL37" i="1"/>
  <c r="AK42" i="1"/>
  <c r="AL51" i="1"/>
  <c r="AL25" i="1"/>
  <c r="AL26" i="1" s="1"/>
  <c r="AL38" i="1" l="1"/>
  <c r="AL42" i="1" s="1"/>
  <c r="AL56" i="1"/>
</calcChain>
</file>

<file path=xl/sharedStrings.xml><?xml version="1.0" encoding="utf-8"?>
<sst xmlns="http://schemas.openxmlformats.org/spreadsheetml/2006/main" count="139" uniqueCount="49">
  <si>
    <t>T</t>
  </si>
  <si>
    <t>A.T</t>
  </si>
  <si>
    <t>NP</t>
  </si>
  <si>
    <t>lt</t>
  </si>
  <si>
    <t>INFORME DE VENTAS</t>
  </si>
  <si>
    <t>ALEMÁN EXPERTO</t>
  </si>
  <si>
    <t>LT</t>
  </si>
  <si>
    <t>PROYECCION</t>
  </si>
  <si>
    <t>LOCAL</t>
  </si>
  <si>
    <t>TIPO VENTA</t>
  </si>
  <si>
    <t xml:space="preserve"> ABR 06</t>
  </si>
  <si>
    <t>%</t>
  </si>
  <si>
    <t xml:space="preserve"> ACUMULADA ABR</t>
  </si>
  <si>
    <t xml:space="preserve"> MAY 2025</t>
  </si>
  <si>
    <t xml:space="preserve"> JUN 2025</t>
  </si>
  <si>
    <t xml:space="preserve"> JUL 2025</t>
  </si>
  <si>
    <t xml:space="preserve"> AGO 2025</t>
  </si>
  <si>
    <t xml:space="preserve"> SEP 2025</t>
  </si>
  <si>
    <t xml:space="preserve"> OCT 2025</t>
  </si>
  <si>
    <t xml:space="preserve"> NOV 2025</t>
  </si>
  <si>
    <t xml:space="preserve"> DIC 2025</t>
  </si>
  <si>
    <t xml:space="preserve"> ENE 2026</t>
  </si>
  <si>
    <t xml:space="preserve"> FEB 2026</t>
  </si>
  <si>
    <t xml:space="preserve"> MAR  2026</t>
  </si>
  <si>
    <t>PROYECCIÓN ABR 2026</t>
  </si>
  <si>
    <t xml:space="preserve"> ABR 2025</t>
  </si>
  <si>
    <t xml:space="preserve"> ENE 2024</t>
  </si>
  <si>
    <t>PROYECCIÓN  ANUAL 2026</t>
  </si>
  <si>
    <t>VITACURA</t>
  </si>
  <si>
    <t>SALÓN</t>
  </si>
  <si>
    <t>DELIVERY</t>
  </si>
  <si>
    <t>TOTAL</t>
  </si>
  <si>
    <t>LAS CONDES</t>
  </si>
  <si>
    <t>CHICUREO</t>
  </si>
  <si>
    <t>MACUL</t>
  </si>
  <si>
    <t>LA DEHESA</t>
  </si>
  <si>
    <t>LA REINA</t>
  </si>
  <si>
    <t>QUILIN</t>
  </si>
  <si>
    <t>PROVIDENCIA</t>
  </si>
  <si>
    <t>NUEVA PROVIDENCIA</t>
  </si>
  <si>
    <t>LOS TRAPENSES</t>
  </si>
  <si>
    <t xml:space="preserve">TOTAL LOCALES </t>
  </si>
  <si>
    <t>UBER</t>
  </si>
  <si>
    <t>PEDIDOSYA</t>
  </si>
  <si>
    <t>RAPPI</t>
  </si>
  <si>
    <t>VENTAS ALIVA</t>
  </si>
  <si>
    <t xml:space="preserve"> ACUMULADA MAR</t>
  </si>
  <si>
    <t xml:space="preserve"> DIC 2023</t>
  </si>
  <si>
    <t>TOTAL ALIVA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</si>
</sst>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ashed">
        <color theme="2" tint="-0.499984740745262"/>
      </left>
      <right/>
      <top style="dashed">
        <color theme="2" tint="-0.499984740745262"/>
      </top>
      <bottom style="dashed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 style="dashed">
        <color theme="2" tint="-0.499984740745262"/>
      </bottom>
      <diagonal/>
    </border>
    <border>
      <left/>
      <right/>
      <top style="medium">
        <color indexed="64"/>
      </top>
      <bottom style="dashed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dashed">
        <color theme="2" tint="-0.499984740745262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theme="2" tint="-0.499984740745262"/>
      </top>
      <bottom style="dashed">
        <color theme="2" tint="-0.499984740745262"/>
      </bottom>
      <diagonal/>
    </border>
    <border>
      <left style="dashed">
        <color theme="2" tint="-0.499984740745262"/>
      </left>
      <right/>
      <top style="dashed">
        <color theme="2" tint="-0.499984740745262"/>
      </top>
      <bottom/>
      <diagonal/>
    </border>
    <border>
      <left style="medium">
        <color indexed="64"/>
      </left>
      <right/>
      <top style="dashed">
        <color theme="2" tint="-0.499984740745262"/>
      </top>
      <bottom/>
      <diagonal/>
    </border>
    <border>
      <left/>
      <right/>
      <top style="dashed">
        <color theme="2" tint="-0.499984740745262"/>
      </top>
      <bottom/>
      <diagonal/>
    </border>
    <border>
      <left/>
      <right style="medium">
        <color indexed="64"/>
      </right>
      <top style="dashed">
        <color theme="2" tint="-0.499984740745262"/>
      </top>
      <bottom/>
      <diagonal/>
    </border>
    <border>
      <left style="dashed">
        <color theme="2" tint="-0.499984740745262"/>
      </left>
      <right/>
      <top/>
      <bottom/>
      <diagonal/>
    </border>
    <border>
      <left style="dashed">
        <color theme="2" tint="-0.499984740745262"/>
      </left>
      <right/>
      <top/>
      <bottom style="dashed">
        <color theme="2" tint="-0.499984740745262"/>
      </bottom>
      <diagonal/>
    </border>
    <border>
      <left style="medium">
        <color indexed="64"/>
      </left>
      <right/>
      <top/>
      <bottom style="dashed">
        <color theme="2" tint="-0.499984740745262"/>
      </bottom>
      <diagonal/>
    </border>
    <border>
      <left/>
      <right/>
      <top/>
      <bottom style="dashed">
        <color theme="2" tint="-0.499984740745262"/>
      </bottom>
      <diagonal/>
    </border>
    <border>
      <left/>
      <right style="medium">
        <color indexed="64"/>
      </right>
      <top/>
      <bottom style="dashed">
        <color theme="2" tint="-0.499984740745262"/>
      </bottom>
      <diagonal/>
    </border>
    <border>
      <left style="dashed">
        <color theme="2" tint="-0.499984740745262"/>
      </left>
      <right style="dashed">
        <color theme="2" tint="-0.499984740745262"/>
      </right>
      <top style="dashed">
        <color theme="2" tint="-0.499984740745262"/>
      </top>
      <bottom/>
      <diagonal/>
    </border>
    <border>
      <left style="dashed">
        <color theme="2" tint="-0.499984740745262"/>
      </left>
      <right style="dashed">
        <color theme="2" tint="-0.499984740745262"/>
      </right>
      <top/>
      <bottom/>
      <diagonal/>
    </border>
    <border>
      <left style="dashed">
        <color theme="2" tint="-0.499984740745262"/>
      </left>
      <right style="dashed">
        <color theme="2" tint="-0.499984740745262"/>
      </right>
      <top/>
      <bottom style="dashed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2" fillId="0" borderId="0" xfId="0" applyFont="1"/>
    <xf numFmtId="0" fontId="4" fillId="0" borderId="0" xfId="0" applyFont="1"/>
    <xf numFmtId="0" fontId="0" fillId="0" borderId="5" xfId="0" applyBorder="1"/>
    <xf numFmtId="0" fontId="3" fillId="3" borderId="6" xfId="0" applyFont="1" applyFill="1" applyBorder="1" applyAlignment="1">
      <alignment horizontal="center" vertical="center" wrapText="1"/>
    </xf>
    <xf numFmtId="17" fontId="3" fillId="4" borderId="7" xfId="0" applyNumberFormat="1" applyFont="1" applyFill="1" applyBorder="1" applyAlignment="1">
      <alignment horizontal="center" vertical="center" wrapText="1"/>
    </xf>
    <xf numFmtId="17" fontId="3" fillId="4" borderId="8" xfId="0" applyNumberFormat="1" applyFont="1" applyFill="1" applyBorder="1" applyAlignment="1">
      <alignment horizontal="center" vertical="center" wrapText="1"/>
    </xf>
    <xf numFmtId="17" fontId="3" fillId="4" borderId="9" xfId="0" applyNumberFormat="1" applyFont="1" applyFill="1" applyBorder="1" applyAlignment="1">
      <alignment horizontal="center" vertical="center" wrapText="1"/>
    </xf>
    <xf numFmtId="17" fontId="3" fillId="3" borderId="8" xfId="0" applyNumberFormat="1" applyFont="1" applyFill="1" applyBorder="1" applyAlignment="1">
      <alignment horizontal="center" vertical="center" wrapText="1"/>
    </xf>
    <xf numFmtId="17" fontId="3" fillId="3" borderId="10" xfId="0" applyNumberFormat="1" applyFont="1" applyFill="1" applyBorder="1" applyAlignment="1">
      <alignment horizontal="center" vertical="center" wrapText="1"/>
    </xf>
    <xf numFmtId="17" fontId="3" fillId="3" borderId="1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/>
    <xf numFmtId="164" fontId="0" fillId="0" borderId="13" xfId="4" applyNumberFormat="1" applyFont="1" applyBorder="1"/>
    <xf numFmtId="9" fontId="3" fillId="0" borderId="14" xfId="3" applyFont="1" applyBorder="1"/>
    <xf numFmtId="41" fontId="1" fillId="0" borderId="14" xfId="1" applyFont="1" applyBorder="1"/>
    <xf numFmtId="9" fontId="3" fillId="0" borderId="15" xfId="3" applyFont="1" applyBorder="1"/>
    <xf numFmtId="41" fontId="0" fillId="0" borderId="14" xfId="1" applyFont="1" applyBorder="1"/>
    <xf numFmtId="9" fontId="3" fillId="0" borderId="0" xfId="3" applyFont="1" applyBorder="1"/>
    <xf numFmtId="41" fontId="0" fillId="0" borderId="0" xfId="1" applyFont="1" applyBorder="1"/>
    <xf numFmtId="164" fontId="0" fillId="0" borderId="4" xfId="4" applyNumberFormat="1" applyFont="1" applyBorder="1"/>
    <xf numFmtId="0" fontId="3" fillId="2" borderId="16" xfId="0" applyFont="1" applyFill="1" applyBorder="1" applyAlignment="1">
      <alignment horizontal="center" vertical="center"/>
    </xf>
    <xf numFmtId="0" fontId="3" fillId="0" borderId="16" xfId="0" applyFont="1" applyBorder="1"/>
    <xf numFmtId="41" fontId="1" fillId="0" borderId="0" xfId="1" applyFont="1" applyBorder="1"/>
    <xf numFmtId="9" fontId="3" fillId="0" borderId="5" xfId="3" applyFont="1" applyBorder="1"/>
    <xf numFmtId="0" fontId="3" fillId="2" borderId="17" xfId="0" applyFont="1" applyFill="1" applyBorder="1" applyAlignment="1">
      <alignment horizontal="center" vertical="center"/>
    </xf>
    <xf numFmtId="0" fontId="3" fillId="5" borderId="17" xfId="0" applyFont="1" applyFill="1" applyBorder="1"/>
    <xf numFmtId="164" fontId="3" fillId="5" borderId="18" xfId="0" applyNumberFormat="1" applyFont="1" applyFill="1" applyBorder="1"/>
    <xf numFmtId="9" fontId="3" fillId="5" borderId="19" xfId="3" applyFont="1" applyFill="1" applyBorder="1"/>
    <xf numFmtId="41" fontId="3" fillId="5" borderId="19" xfId="1" applyFont="1" applyFill="1" applyBorder="1"/>
    <xf numFmtId="9" fontId="3" fillId="5" borderId="20" xfId="3" applyFont="1" applyFill="1" applyBorder="1"/>
    <xf numFmtId="41" fontId="0" fillId="0" borderId="5" xfId="0" applyNumberFormat="1" applyBorder="1"/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64" fontId="3" fillId="5" borderId="24" xfId="0" applyNumberFormat="1" applyFont="1" applyFill="1" applyBorder="1"/>
    <xf numFmtId="9" fontId="3" fillId="5" borderId="25" xfId="3" applyFont="1" applyFill="1" applyBorder="1"/>
    <xf numFmtId="41" fontId="3" fillId="5" borderId="25" xfId="1" applyFont="1" applyFill="1" applyBorder="1"/>
    <xf numFmtId="9" fontId="3" fillId="5" borderId="26" xfId="3" applyFont="1" applyFill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164" fontId="0" fillId="0" borderId="1" xfId="4" applyNumberFormat="1" applyFont="1" applyBorder="1"/>
    <xf numFmtId="9" fontId="3" fillId="0" borderId="2" xfId="3" applyFont="1" applyBorder="1"/>
    <xf numFmtId="41" fontId="3" fillId="0" borderId="2" xfId="1" applyFont="1" applyBorder="1"/>
    <xf numFmtId="9" fontId="3" fillId="0" borderId="3" xfId="3" applyFont="1" applyBorder="1"/>
    <xf numFmtId="164" fontId="0" fillId="0" borderId="2" xfId="4" applyNumberFormat="1" applyFont="1" applyBorder="1"/>
    <xf numFmtId="164" fontId="0" fillId="0" borderId="14" xfId="4" applyNumberFormat="1" applyFont="1" applyBorder="1"/>
    <xf numFmtId="41" fontId="3" fillId="0" borderId="0" xfId="1" applyFont="1" applyBorder="1"/>
    <xf numFmtId="164" fontId="0" fillId="0" borderId="0" xfId="4" applyNumberFormat="1" applyFont="1" applyBorder="1"/>
    <xf numFmtId="0" fontId="6" fillId="6" borderId="16" xfId="0" applyFont="1" applyFill="1" applyBorder="1"/>
    <xf numFmtId="164" fontId="6" fillId="6" borderId="4" xfId="4" applyNumberFormat="1" applyFont="1" applyFill="1" applyBorder="1"/>
    <xf numFmtId="9" fontId="7" fillId="6" borderId="0" xfId="3" applyFont="1" applyFill="1" applyBorder="1"/>
    <xf numFmtId="41" fontId="6" fillId="6" borderId="0" xfId="1" applyFont="1" applyFill="1" applyBorder="1"/>
    <xf numFmtId="9" fontId="7" fillId="6" borderId="5" xfId="3" applyFont="1" applyFill="1" applyBorder="1"/>
    <xf numFmtId="164" fontId="3" fillId="5" borderId="25" xfId="0" applyNumberFormat="1" applyFont="1" applyFill="1" applyBorder="1"/>
    <xf numFmtId="164" fontId="3" fillId="5" borderId="19" xfId="0" applyNumberFormat="1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1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2" borderId="0" xfId="0" applyFont="1" applyFill="1"/>
    <xf numFmtId="17" fontId="3" fillId="4" borderId="28" xfId="0" applyNumberFormat="1" applyFont="1" applyFill="1" applyBorder="1" applyAlignment="1">
      <alignment horizontal="center" vertical="center" wrapText="1"/>
    </xf>
    <xf numFmtId="17" fontId="3" fillId="4" borderId="29" xfId="0" applyNumberFormat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/>
    </xf>
    <xf numFmtId="0" fontId="0" fillId="0" borderId="0" xfId="0" applyAlignment="1">
      <alignment vertical="center"/>
    </xf>
    <xf numFmtId="41" fontId="0" fillId="0" borderId="4" xfId="1" applyFont="1" applyBorder="1" applyAlignment="1">
      <alignment vertical="center"/>
    </xf>
    <xf numFmtId="9" fontId="3" fillId="0" borderId="0" xfId="3" applyFont="1" applyBorder="1" applyAlignment="1">
      <alignment vertical="center"/>
    </xf>
    <xf numFmtId="41" fontId="0" fillId="0" borderId="0" xfId="1" applyFont="1" applyBorder="1" applyAlignment="1">
      <alignment vertical="center"/>
    </xf>
    <xf numFmtId="9" fontId="3" fillId="0" borderId="5" xfId="3" applyFont="1" applyBorder="1" applyAlignment="1">
      <alignment vertical="center"/>
    </xf>
    <xf numFmtId="42" fontId="0" fillId="0" borderId="0" xfId="0" applyNumberFormat="1"/>
    <xf numFmtId="9" fontId="3" fillId="0" borderId="31" xfId="3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41" fontId="0" fillId="0" borderId="0" xfId="1" applyFont="1"/>
    <xf numFmtId="0" fontId="3" fillId="0" borderId="33" xfId="0" applyFont="1" applyBorder="1" applyAlignment="1">
      <alignment vertical="center"/>
    </xf>
    <xf numFmtId="41" fontId="0" fillId="0" borderId="24" xfId="1" applyFont="1" applyBorder="1" applyAlignment="1">
      <alignment vertical="center"/>
    </xf>
    <xf numFmtId="9" fontId="3" fillId="0" borderId="25" xfId="3" applyFont="1" applyBorder="1" applyAlignment="1">
      <alignment vertical="center"/>
    </xf>
    <xf numFmtId="41" fontId="0" fillId="0" borderId="25" xfId="1" applyFont="1" applyBorder="1" applyAlignment="1">
      <alignment vertical="center"/>
    </xf>
    <xf numFmtId="9" fontId="3" fillId="0" borderId="26" xfId="3" applyFont="1" applyBorder="1" applyAlignment="1">
      <alignment vertical="center"/>
    </xf>
    <xf numFmtId="41" fontId="0" fillId="0" borderId="34" xfId="1" applyFont="1" applyBorder="1" applyAlignment="1">
      <alignment vertical="center"/>
    </xf>
    <xf numFmtId="9" fontId="3" fillId="0" borderId="34" xfId="3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41" fontId="0" fillId="0" borderId="35" xfId="0" applyNumberFormat="1" applyBorder="1" applyAlignment="1">
      <alignment vertical="center"/>
    </xf>
    <xf numFmtId="9" fontId="0" fillId="0" borderId="36" xfId="3" applyFont="1" applyBorder="1" applyAlignment="1">
      <alignment vertical="center"/>
    </xf>
    <xf numFmtId="41" fontId="0" fillId="0" borderId="36" xfId="1" applyFont="1" applyBorder="1" applyAlignment="1">
      <alignment vertical="center"/>
    </xf>
    <xf numFmtId="9" fontId="0" fillId="0" borderId="37" xfId="3" applyFont="1" applyBorder="1" applyAlignment="1">
      <alignment vertical="center"/>
    </xf>
    <xf numFmtId="41" fontId="0" fillId="0" borderId="36" xfId="0" applyNumberFormat="1" applyBorder="1" applyAlignment="1">
      <alignment vertical="center"/>
    </xf>
    <xf numFmtId="41" fontId="0" fillId="0" borderId="35" xfId="1" applyFont="1" applyBorder="1" applyAlignment="1">
      <alignment vertical="center"/>
    </xf>
    <xf numFmtId="41" fontId="0" fillId="0" borderId="38" xfId="0" applyNumberFormat="1" applyBorder="1" applyAlignment="1">
      <alignment vertical="center"/>
    </xf>
    <xf numFmtId="9" fontId="0" fillId="0" borderId="38" xfId="3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42" fontId="0" fillId="0" borderId="0" xfId="2" applyFont="1"/>
  </cellXfs>
  <cellStyles count="5">
    <cellStyle name="Millares [0]" xfId="1" builtinId="6"/>
    <cellStyle name="Moneda [0]" xfId="2" builtinId="7"/>
    <cellStyle name="Moneda [0] 2" xfId="4" xr:uid="{ED88837C-BB1A-4DC3-8BF0-776CB2B4B06B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locales año movil-</a:t>
            </a:r>
            <a:r>
              <a:rPr lang="es-CL" baseline="0"/>
              <a:t> 12 ultimos meses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1.8348626798723268E-2"/>
          <c:y val="0.15858426474811138"/>
          <c:w val="0.80974464586909478"/>
          <c:h val="0.74571765412224178"/>
        </c:manualLayout>
      </c:layout>
      <c:lineChart>
        <c:grouping val="standard"/>
        <c:varyColors val="0"/>
        <c:ser>
          <c:idx val="0"/>
          <c:order val="0"/>
          <c:tx>
            <c:strRef>
              <c:f>'INF DIARIO 15'!$D$42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('INF DIARIO 15'!$I$5,'INF DIARIO 15'!$K$5,'INF DIARIO 15'!$M$5,'INF DIARIO 15'!$O$5,'INF DIARIO 15'!$Q$5,'INF DIARIO 15'!$S$5,'INF DIARIO 15'!$U$5,'INF DIARIO 15'!$W$5,'INF DIARIO 15'!$Y$5,'INF DIARIO 15'!$AA$5,'INF DIARIO 15'!$AC$5,'INF DIARIO 15'!$AE$5)</c:f>
              <c:strCache>
                <c:ptCount val="12"/>
                <c:pt idx="0">
                  <c:v> MAY 2025</c:v>
                </c:pt>
                <c:pt idx="1">
                  <c:v> JUN 2025</c:v>
                </c:pt>
                <c:pt idx="2">
                  <c:v> JUL 2025</c:v>
                </c:pt>
                <c:pt idx="3">
                  <c:v> AGO 2025</c:v>
                </c:pt>
                <c:pt idx="4">
                  <c:v> SEP 2025</c:v>
                </c:pt>
                <c:pt idx="5">
                  <c:v> OCT 2025</c:v>
                </c:pt>
                <c:pt idx="6">
                  <c:v> NOV 2025</c:v>
                </c:pt>
                <c:pt idx="7">
                  <c:v> DIC 2025</c:v>
                </c:pt>
                <c:pt idx="8">
                  <c:v> ENE 2026</c:v>
                </c:pt>
                <c:pt idx="9">
                  <c:v> FEB 2026</c:v>
                </c:pt>
                <c:pt idx="10">
                  <c:v> MAR  2026</c:v>
                </c:pt>
                <c:pt idx="11">
                  <c:v>PROYECCIÓN ABR 2026</c:v>
                </c:pt>
              </c:strCache>
            </c:strRef>
          </c:cat>
          <c:val>
            <c:numRef>
              <c:f>('INF DIARIO 15'!$I$42,'INF DIARIO 15'!$K$42,'INF DIARIO 15'!$M$42,'INF DIARIO 15'!$O$42,'INF DIARIO 15'!$Q$42,'INF DIARIO 15'!$S$42,'INF DIARIO 15'!$U$42,'INF DIARIO 15'!$W$42,'INF DIARIO 15'!$Y$42,'INF DIARIO 15'!$AA$42,'INF DIARIO 15'!$AC$42,'INF DIARIO 15'!$AE$42)</c:f>
              <c:numCache>
                <c:formatCode>#,##0_ ;\-#,##0\ </c:formatCode>
                <c:ptCount val="12"/>
                <c:pt idx="0">
                  <c:v>2958551737</c:v>
                </c:pt>
                <c:pt idx="1">
                  <c:v>2858384428</c:v>
                </c:pt>
                <c:pt idx="2">
                  <c:v>3040560430</c:v>
                </c:pt>
                <c:pt idx="3">
                  <c:v>3157766597</c:v>
                </c:pt>
                <c:pt idx="4">
                  <c:v>2737936000</c:v>
                </c:pt>
                <c:pt idx="5">
                  <c:v>3318822004</c:v>
                </c:pt>
                <c:pt idx="6">
                  <c:v>3295932100</c:v>
                </c:pt>
                <c:pt idx="7">
                  <c:v>3358852000</c:v>
                </c:pt>
                <c:pt idx="8">
                  <c:v>3088552751</c:v>
                </c:pt>
                <c:pt idx="9">
                  <c:v>2670812350</c:v>
                </c:pt>
                <c:pt idx="10">
                  <c:v>3211444450</c:v>
                </c:pt>
                <c:pt idx="11">
                  <c:v>2582303500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C-4267-8A22-FE63ED918CAB}"/>
            </c:ext>
          </c:extLst>
        </c:ser>
        <c:ser>
          <c:idx val="1"/>
          <c:order val="1"/>
          <c:tx>
            <c:strRef>
              <c:f>'INF DIARIO 15'!$D$37</c:f>
              <c:strCache>
                <c:ptCount val="1"/>
                <c:pt idx="0">
                  <c:v>SALÓN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55000"/>
                </a:scheme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ysClr val="windowText" lastClr="000000">
                  <a:tint val="885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('INF DIARIO 15'!$I$5,'INF DIARIO 15'!$K$5,'INF DIARIO 15'!$M$5,'INF DIARIO 15'!$O$5,'INF DIARIO 15'!$Q$5,'INF DIARIO 15'!$S$5,'INF DIARIO 15'!$U$5,'INF DIARIO 15'!$W$5,'INF DIARIO 15'!$Y$5,'INF DIARIO 15'!$AA$5,'INF DIARIO 15'!$AC$5,'INF DIARIO 15'!$AE$5)</c:f>
              <c:strCache>
                <c:ptCount val="12"/>
                <c:pt idx="0">
                  <c:v> MAY 2025</c:v>
                </c:pt>
                <c:pt idx="1">
                  <c:v> JUN 2025</c:v>
                </c:pt>
                <c:pt idx="2">
                  <c:v> JUL 2025</c:v>
                </c:pt>
                <c:pt idx="3">
                  <c:v> AGO 2025</c:v>
                </c:pt>
                <c:pt idx="4">
                  <c:v> SEP 2025</c:v>
                </c:pt>
                <c:pt idx="5">
                  <c:v> OCT 2025</c:v>
                </c:pt>
                <c:pt idx="6">
                  <c:v> NOV 2025</c:v>
                </c:pt>
                <c:pt idx="7">
                  <c:v> DIC 2025</c:v>
                </c:pt>
                <c:pt idx="8">
                  <c:v> ENE 2026</c:v>
                </c:pt>
                <c:pt idx="9">
                  <c:v> FEB 2026</c:v>
                </c:pt>
                <c:pt idx="10">
                  <c:v> MAR  2026</c:v>
                </c:pt>
                <c:pt idx="11">
                  <c:v>PROYECCIÓN ABR 2026</c:v>
                </c:pt>
              </c:strCache>
            </c:strRef>
          </c:cat>
          <c:val>
            <c:numRef>
              <c:f>('INF DIARIO 15'!$I$37,'INF DIARIO 15'!$K$37,'INF DIARIO 15'!$M$37,'INF DIARIO 15'!$O$37,'INF DIARIO 15'!$Q$37,'INF DIARIO 15'!$S$37,'INF DIARIO 15'!$U$37,'INF DIARIO 15'!$W$37,'INF DIARIO 15'!$Y$37,'INF DIARIO 15'!$AA$37,'INF DIARIO 15'!$AC$37,'INF DIARIO 15'!$AE$37)</c:f>
              <c:numCache>
                <c:formatCode>#,##0_ ;\-#,##0\ </c:formatCode>
                <c:ptCount val="12"/>
                <c:pt idx="0">
                  <c:v>2199963175</c:v>
                </c:pt>
                <c:pt idx="1">
                  <c:v>2151979656</c:v>
                </c:pt>
                <c:pt idx="2">
                  <c:v>2342696073</c:v>
                </c:pt>
                <c:pt idx="3">
                  <c:v>2395197100</c:v>
                </c:pt>
                <c:pt idx="4">
                  <c:v>2034689000</c:v>
                </c:pt>
                <c:pt idx="5">
                  <c:v>2480299300</c:v>
                </c:pt>
                <c:pt idx="6">
                  <c:v>2433466400</c:v>
                </c:pt>
                <c:pt idx="7">
                  <c:v>2517033700</c:v>
                </c:pt>
                <c:pt idx="8">
                  <c:v>2287131593</c:v>
                </c:pt>
                <c:pt idx="9">
                  <c:v>1942142850</c:v>
                </c:pt>
                <c:pt idx="10">
                  <c:v>2355643000</c:v>
                </c:pt>
                <c:pt idx="11">
                  <c:v>1845173250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C-4267-8A22-FE63ED918CAB}"/>
            </c:ext>
          </c:extLst>
        </c:ser>
        <c:ser>
          <c:idx val="2"/>
          <c:order val="2"/>
          <c:tx>
            <c:strRef>
              <c:f>'INF DIARIO 15'!$D$38</c:f>
              <c:strCache>
                <c:ptCount val="1"/>
                <c:pt idx="0">
                  <c:v>DELIVERY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75000"/>
                </a:scheme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ysClr val="windowText" lastClr="000000">
                  <a:tint val="885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('INF DIARIO 15'!$I$5,'INF DIARIO 15'!$K$5,'INF DIARIO 15'!$M$5,'INF DIARIO 15'!$O$5,'INF DIARIO 15'!$Q$5,'INF DIARIO 15'!$S$5,'INF DIARIO 15'!$U$5,'INF DIARIO 15'!$W$5,'INF DIARIO 15'!$Y$5,'INF DIARIO 15'!$AA$5,'INF DIARIO 15'!$AC$5,'INF DIARIO 15'!$AE$5)</c:f>
              <c:strCache>
                <c:ptCount val="12"/>
                <c:pt idx="0">
                  <c:v> MAY 2025</c:v>
                </c:pt>
                <c:pt idx="1">
                  <c:v> JUN 2025</c:v>
                </c:pt>
                <c:pt idx="2">
                  <c:v> JUL 2025</c:v>
                </c:pt>
                <c:pt idx="3">
                  <c:v> AGO 2025</c:v>
                </c:pt>
                <c:pt idx="4">
                  <c:v> SEP 2025</c:v>
                </c:pt>
                <c:pt idx="5">
                  <c:v> OCT 2025</c:v>
                </c:pt>
                <c:pt idx="6">
                  <c:v> NOV 2025</c:v>
                </c:pt>
                <c:pt idx="7">
                  <c:v> DIC 2025</c:v>
                </c:pt>
                <c:pt idx="8">
                  <c:v> ENE 2026</c:v>
                </c:pt>
                <c:pt idx="9">
                  <c:v> FEB 2026</c:v>
                </c:pt>
                <c:pt idx="10">
                  <c:v> MAR  2026</c:v>
                </c:pt>
                <c:pt idx="11">
                  <c:v>PROYECCIÓN ABR 2026</c:v>
                </c:pt>
              </c:strCache>
            </c:strRef>
          </c:cat>
          <c:val>
            <c:numRef>
              <c:f>('INF DIARIO 15'!$I$38,'INF DIARIO 15'!$K$38,'INF DIARIO 15'!$M$38,'INF DIARIO 15'!$O$38,'INF DIARIO 15'!$Q$38,'INF DIARIO 15'!$S$38,'INF DIARIO 15'!$U$38,'INF DIARIO 15'!$W$38,'INF DIARIO 15'!$Y$38,'INF DIARIO 15'!$AA$38,'INF DIARIO 15'!$AC$38,'INF DIARIO 15'!$AE$38)</c:f>
              <c:numCache>
                <c:formatCode>#,##0_ ;\-#,##0\ </c:formatCode>
                <c:ptCount val="12"/>
                <c:pt idx="0">
                  <c:v>758588562</c:v>
                </c:pt>
                <c:pt idx="1">
                  <c:v>706404772</c:v>
                </c:pt>
                <c:pt idx="2">
                  <c:v>697864357</c:v>
                </c:pt>
                <c:pt idx="3">
                  <c:v>762569497</c:v>
                </c:pt>
                <c:pt idx="4">
                  <c:v>703247000</c:v>
                </c:pt>
                <c:pt idx="5">
                  <c:v>838522704</c:v>
                </c:pt>
                <c:pt idx="6">
                  <c:v>862465700</c:v>
                </c:pt>
                <c:pt idx="7">
                  <c:v>841818300</c:v>
                </c:pt>
                <c:pt idx="8">
                  <c:v>801421158</c:v>
                </c:pt>
                <c:pt idx="9">
                  <c:v>728669500</c:v>
                </c:pt>
                <c:pt idx="10">
                  <c:v>855801450</c:v>
                </c:pt>
                <c:pt idx="11">
                  <c:v>737130250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C-4267-8A22-FE63ED918C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37369007"/>
        <c:axId val="937366127"/>
      </c:lineChart>
      <c:catAx>
        <c:axId val="9373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7366127"/>
        <c:crosses val="autoZero"/>
        <c:auto val="1"/>
        <c:lblAlgn val="ctr"/>
        <c:lblOffset val="100"/>
        <c:noMultiLvlLbl val="0"/>
      </c:catAx>
      <c:valAx>
        <c:axId val="937366127"/>
        <c:scaling>
          <c:orientation val="minMax"/>
        </c:scaling>
        <c:delete val="1"/>
        <c:axPos val="l"/>
        <c:numFmt formatCode="#,##0_ ;\-#,##0\ " sourceLinked="1"/>
        <c:majorTickMark val="none"/>
        <c:minorTickMark val="none"/>
        <c:tickLblPos val="nextTo"/>
        <c:crossAx val="9373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Aporte</a:t>
            </a:r>
            <a:r>
              <a:rPr lang="es-CL" baseline="0"/>
              <a:t> % Local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2E-44F7-9E84-9E9B40A13A0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2E-44F7-9E84-9E9B40A13A0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2E-44F7-9E84-9E9B40A13A0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2E-44F7-9E84-9E9B40A13A0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2E-44F7-9E84-9E9B40A13A0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32E-44F7-9E84-9E9B40A13A0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32E-44F7-9E84-9E9B40A13A0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32E-44F7-9E84-9E9B40A13A0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32E-44F7-9E84-9E9B40A13A0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32E-44F7-9E84-9E9B40A13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('INF DIARIO 15'!$C$27,'INF DIARIO 15'!$C$6,'INF DIARIO 15'!$C$18,'INF DIARIO 15'!$C$9,'INF DIARIO 15'!$C$12,'INF DIARIO 15'!$C$15,'INF DIARIO 15'!$C$21,'INF DIARIO 15'!$C$24,'INF DIARIO 15'!$C$30,'INF DIARIO 15'!$C$33)</c:f>
              <c:strCache>
                <c:ptCount val="10"/>
                <c:pt idx="0">
                  <c:v>PROVIDENCIA</c:v>
                </c:pt>
                <c:pt idx="1">
                  <c:v>VITACURA</c:v>
                </c:pt>
                <c:pt idx="2">
                  <c:v>LA DEHESA</c:v>
                </c:pt>
                <c:pt idx="3">
                  <c:v>LAS CONDES</c:v>
                </c:pt>
                <c:pt idx="4">
                  <c:v>CHICUREO</c:v>
                </c:pt>
                <c:pt idx="5">
                  <c:v>MACUL</c:v>
                </c:pt>
                <c:pt idx="6">
                  <c:v>LA REINA</c:v>
                </c:pt>
                <c:pt idx="7">
                  <c:v>QUILIN</c:v>
                </c:pt>
                <c:pt idx="8">
                  <c:v>NUEVA PROVIDENCIA</c:v>
                </c:pt>
                <c:pt idx="9">
                  <c:v>LOS TRAPENSES</c:v>
                </c:pt>
              </c:strCache>
            </c:strRef>
          </c:cat>
          <c:val>
            <c:numRef>
              <c:f>('INF DIARIO 15'!$AE$8,'INF DIARIO 15'!$AE$10,'INF DIARIO 15'!$AE$14,'INF DIARIO 15'!$AE$17,'INF DIARIO 15'!$AE$20,'INF DIARIO 15'!$AE$23,'INF DIARIO 15'!$AE$26,'INF DIARIO 15'!$AE$29,'INF DIARIO 15'!$AE$32,'INF DIARIO 15'!$AE$35)</c:f>
              <c:numCache>
                <c:formatCode>#,##0_ ;\-#,##0\ </c:formatCode>
                <c:ptCount val="10"/>
                <c:pt idx="0">
                  <c:v>371219750</c:v>
                </c:pt>
                <c:pt idx="1">
                  <c:v>89417750</c:v>
                </c:pt>
                <c:pt idx="2">
                  <c:v>2042500</c:v>
                </c:pt>
                <c:pt idx="3">
                  <c:v>309287250</c:v>
                </c:pt>
                <c:pt idx="4">
                  <c:v>250198750</c:v>
                </c:pt>
                <c:pt idx="5">
                  <c:v>312783750</c:v>
                </c:pt>
                <c:pt idx="6">
                  <c:v>255461500</c:v>
                </c:pt>
                <c:pt idx="7">
                  <c:v>230675250</c:v>
                </c:pt>
                <c:pt idx="8">
                  <c:v>255367750</c:v>
                </c:pt>
                <c:pt idx="9">
                  <c:v>294292750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32E-44F7-9E84-9E9B40A13A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L" sz="1800" b="1">
                <a:solidFill>
                  <a:sysClr val="windowText" lastClr="000000"/>
                </a:solidFill>
              </a:rPr>
              <a:t>Participación</a:t>
            </a:r>
            <a:r>
              <a:rPr lang="es-CL" sz="1800" b="1" baseline="0">
                <a:solidFill>
                  <a:sysClr val="windowText" lastClr="000000"/>
                </a:solidFill>
              </a:rPr>
              <a:t> Plataformas Delivery</a:t>
            </a:r>
            <a:endParaRPr lang="es-CL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75-4766-BD85-444B5C0ED7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75-4766-BD85-444B5C0ED7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75-4766-BD85-444B5C0ED7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'INF DIARIO 15'!$D$39:$D$41</c:f>
              <c:strCache>
                <c:ptCount val="3"/>
                <c:pt idx="0">
                  <c:v>UBER</c:v>
                </c:pt>
                <c:pt idx="1">
                  <c:v>PEDIDOSYA</c:v>
                </c:pt>
                <c:pt idx="2">
                  <c:v>RAPPI</c:v>
                </c:pt>
              </c:strCache>
            </c:strRef>
          </c:cat>
          <c:val>
            <c:numRef>
              <c:f>'INF DIARIO 15'!$AE$39:$AE$41</c:f>
              <c:numCache>
                <c:formatCode>#,##0_ ;\-#,##0\ </c:formatCode>
                <c:ptCount val="3"/>
                <c:pt idx="0">
                  <c:v>524643249.99999994</c:v>
                </c:pt>
                <c:pt idx="1">
                  <c:v>103383000</c:v>
                </c:pt>
                <c:pt idx="2">
                  <c:v>90630250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5-4766-BD85-444B5C0ED7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ALIVA</a:t>
            </a:r>
            <a:r>
              <a:rPr lang="en-US" baseline="0"/>
              <a:t> AÑO MOVIL - 12 ULTIMOS MESES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DIARIO 15'!$C$56</c:f>
              <c:strCache>
                <c:ptCount val="1"/>
                <c:pt idx="0">
                  <c:v>TOTAL ALIVA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('INF DIARIO 15'!$I$44,'INF DIARIO 15'!$K$44,'INF DIARIO 15'!$M$44,'INF DIARIO 15'!$O$44,'INF DIARIO 15'!$Q$44,'INF DIARIO 15'!$S$44,'INF DIARIO 15'!$U$44,'INF DIARIO 15'!$W$44,'INF DIARIO 15'!$Y$44,'INF DIARIO 15'!$AA$44,'INF DIARIO 15'!$AC$44,'INF DIARIO 15'!$AE$44)</c:f>
              <c:strCache>
                <c:ptCount val="12"/>
                <c:pt idx="0">
                  <c:v> MAY 2025</c:v>
                </c:pt>
                <c:pt idx="1">
                  <c:v> JUN 2025</c:v>
                </c:pt>
                <c:pt idx="2">
                  <c:v> JUL 2025</c:v>
                </c:pt>
                <c:pt idx="3">
                  <c:v> AGO 2025</c:v>
                </c:pt>
                <c:pt idx="4">
                  <c:v> SEP 2025</c:v>
                </c:pt>
                <c:pt idx="5">
                  <c:v> OCT 2025</c:v>
                </c:pt>
                <c:pt idx="6">
                  <c:v> NOV 2025</c:v>
                </c:pt>
                <c:pt idx="7">
                  <c:v> DIC 2025</c:v>
                </c:pt>
                <c:pt idx="8">
                  <c:v> ENE 2026</c:v>
                </c:pt>
                <c:pt idx="9">
                  <c:v> FEB 2026</c:v>
                </c:pt>
                <c:pt idx="10">
                  <c:v> ACUMULADA MAR</c:v>
                </c:pt>
                <c:pt idx="11">
                  <c:v>PROYECCIÓN ABR 2026</c:v>
                </c:pt>
              </c:strCache>
            </c:strRef>
          </c:cat>
          <c:val>
            <c:numRef>
              <c:f>('INF DIARIO 15'!$I$56,'INF DIARIO 15'!$K$56,'INF DIARIO 15'!$M$56,'INF DIARIO 15'!$O$56,'INF DIARIO 15'!$Q$56,'INF DIARIO 15'!$S$56,'INF DIARIO 15'!$U$56,'INF DIARIO 15'!$W$56,'INF DIARIO 15'!$Y$56,'INF DIARIO 15'!$AA$56,'INF DIARIO 15'!$AC$56,'INF DIARIO 15'!$AE$56)</c:f>
              <c:numCache>
                <c:formatCode>_(* #,##0_);_(* \(#,##0\);_(* "-"_);_(@_)</c:formatCode>
                <c:ptCount val="12"/>
                <c:pt idx="0">
                  <c:v>702377036.75999987</c:v>
                </c:pt>
                <c:pt idx="1">
                  <c:v>622607019.43999994</c:v>
                </c:pt>
                <c:pt idx="2">
                  <c:v>699626928.90999997</c:v>
                </c:pt>
                <c:pt idx="3">
                  <c:v>731250530.83599997</c:v>
                </c:pt>
                <c:pt idx="4">
                  <c:v>658975209.25949991</c:v>
                </c:pt>
                <c:pt idx="5">
                  <c:v>791332750.65249991</c:v>
                </c:pt>
                <c:pt idx="6">
                  <c:v>764954405.15000045</c:v>
                </c:pt>
                <c:pt idx="7">
                  <c:v>802164790.51214087</c:v>
                </c:pt>
                <c:pt idx="8">
                  <c:v>719236837.28399992</c:v>
                </c:pt>
                <c:pt idx="9">
                  <c:v>638015574.58729994</c:v>
                </c:pt>
                <c:pt idx="10">
                  <c:v>756538481.79949999</c:v>
                </c:pt>
                <c:pt idx="11">
                  <c:v>713900289.6334399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F-4D0F-BF45-176EEE09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286463"/>
        <c:axId val="615289823"/>
      </c:lineChart>
      <c:catAx>
        <c:axId val="61528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5289823"/>
        <c:crosses val="autoZero"/>
        <c:auto val="1"/>
        <c:lblAlgn val="ctr"/>
        <c:lblOffset val="100"/>
        <c:noMultiLvlLbl val="0"/>
      </c:catAx>
      <c:valAx>
        <c:axId val="6152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528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</xdr:colOff>
      <xdr:row>58</xdr:row>
      <xdr:rowOff>33130</xdr:rowOff>
    </xdr:from>
    <xdr:to>
      <xdr:col>13</xdr:col>
      <xdr:colOff>121226</xdr:colOff>
      <xdr:row>74</xdr:row>
      <xdr:rowOff>124240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C20386-C831-4780-B854-79C927A29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121227</xdr:colOff>
      <xdr:row>58</xdr:row>
      <xdr:rowOff>30913</xdr:rowOff>
    </xdr:from>
    <xdr:to>
      <xdr:col>18</xdr:col>
      <xdr:colOff>1190363</xdr:colOff>
      <xdr:row>74</xdr:row>
      <xdr:rowOff>132522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7E63FB-0C31-4ADB-9FC7-AF3A0CF41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9525</xdr:colOff>
      <xdr:row>0</xdr:row>
      <xdr:rowOff>104776</xdr:rowOff>
    </xdr:from>
    <xdr:to>
      <xdr:col>2</xdr:col>
      <xdr:colOff>1505301</xdr:colOff>
      <xdr:row>3</xdr:row>
      <xdr:rowOff>97155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D8DE65-39C5-47A2-A601-AD2ACA4F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04776"/>
          <a:ext cx="1495776" cy="773429"/>
        </a:xfrm>
        <a:prstGeom prst="rect">
          <a:avLst/>
        </a:prstGeom>
      </xdr:spPr>
    </xdr:pic>
    <xdr:clientData/>
  </xdr:twoCellAnchor>
  <xdr:twoCellAnchor>
    <xdr:from>
      <xdr:col>18</xdr:col>
      <xdr:colOff>1180291</xdr:colOff>
      <xdr:row>58</xdr:row>
      <xdr:rowOff>33884</xdr:rowOff>
    </xdr:from>
    <xdr:to>
      <xdr:col>24</xdr:col>
      <xdr:colOff>433136</xdr:colOff>
      <xdr:row>74</xdr:row>
      <xdr:rowOff>124239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AE09E5-6196-4BCA-B966-643909175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432954</xdr:colOff>
      <xdr:row>58</xdr:row>
      <xdr:rowOff>29934</xdr:rowOff>
    </xdr:from>
    <xdr:to>
      <xdr:col>38</xdr:col>
      <xdr:colOff>69273</xdr:colOff>
      <xdr:row>74</xdr:row>
      <xdr:rowOff>136069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219015-BBE4-418B-AC5D-205870F27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EEPPp785jU1ze77dEiM438-5fnwrTm1h\Control%20de%20Gesti&#243;n%20AE\Informe%20Ventas%20Diario\informe%20ventas%20-%202026.xlsx" TargetMode="External"/><Relationship Id="rId1" Type="http://schemas.openxmlformats.org/officeDocument/2006/relationships/externalLinkPath" Target="file:///G:\.shortcut-targets-by-id\1EEPPp785jU1ze77dEiM438-5fnwrTm1h\Control%20de%20Gesti&#243;n%20AE\Informe%20Ventas%20Diario\informe%20ventas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 DIARIO 15"/>
      <sheetName val="BASE_VENTA"/>
      <sheetName val="Hoja1"/>
    </sheetNames>
    <sheetDataSet>
      <sheetData sheetId="0">
        <row r="5">
          <cell r="I5" t="str">
            <v xml:space="preserve"> MAY 2025</v>
          </cell>
          <cell r="K5" t="str">
            <v xml:space="preserve"> JUN 2025</v>
          </cell>
          <cell r="M5" t="str">
            <v xml:space="preserve"> JUL 2025</v>
          </cell>
          <cell r="O5" t="str">
            <v xml:space="preserve"> AGO 2025</v>
          </cell>
          <cell r="Q5" t="str">
            <v xml:space="preserve"> SEP 2025</v>
          </cell>
          <cell r="S5" t="str">
            <v xml:space="preserve"> OCT 2025</v>
          </cell>
          <cell r="U5" t="str">
            <v xml:space="preserve"> NOV 2025</v>
          </cell>
          <cell r="W5" t="str">
            <v xml:space="preserve"> DIC 2025</v>
          </cell>
          <cell r="Y5" t="str">
            <v xml:space="preserve"> ENE 2026</v>
          </cell>
          <cell r="AA5" t="str">
            <v xml:space="preserve"> FEB 2026</v>
          </cell>
          <cell r="AC5" t="str">
            <v xml:space="preserve"> MAR  2026</v>
          </cell>
          <cell r="AE5" t="str">
            <v>PROYECCIÓN ABR 2026</v>
          </cell>
        </row>
        <row r="6">
          <cell r="C6" t="str">
            <v>VITACURA</v>
          </cell>
        </row>
        <row r="8">
          <cell r="AE8">
            <v>371219750</v>
          </cell>
        </row>
        <row r="9">
          <cell r="C9" t="str">
            <v>LAS CONDES</v>
          </cell>
        </row>
        <row r="10">
          <cell r="AE10">
            <v>89417750</v>
          </cell>
        </row>
        <row r="12">
          <cell r="C12" t="str">
            <v>CHICUREO</v>
          </cell>
        </row>
        <row r="14">
          <cell r="AE14">
            <v>2042500</v>
          </cell>
        </row>
        <row r="15">
          <cell r="C15" t="str">
            <v>MACUL</v>
          </cell>
        </row>
        <row r="17">
          <cell r="AE17">
            <v>309287250</v>
          </cell>
        </row>
        <row r="18">
          <cell r="C18" t="str">
            <v>LA DEHESA</v>
          </cell>
        </row>
        <row r="20">
          <cell r="AE20">
            <v>250198750</v>
          </cell>
        </row>
        <row r="21">
          <cell r="C21" t="str">
            <v>LA REINA</v>
          </cell>
        </row>
        <row r="23">
          <cell r="AE23">
            <v>312783750</v>
          </cell>
        </row>
        <row r="24">
          <cell r="C24" t="str">
            <v>QUILIN</v>
          </cell>
        </row>
        <row r="26">
          <cell r="AE26">
            <v>255461500</v>
          </cell>
        </row>
        <row r="27">
          <cell r="C27" t="str">
            <v>PROVIDENCIA</v>
          </cell>
        </row>
        <row r="29">
          <cell r="AE29">
            <v>230675250</v>
          </cell>
        </row>
        <row r="30">
          <cell r="C30" t="str">
            <v>NUEVA PROVIDENCIA</v>
          </cell>
        </row>
        <row r="32">
          <cell r="AE32">
            <v>255367750</v>
          </cell>
        </row>
        <row r="33">
          <cell r="C33" t="str">
            <v>LOS TRAPENSES</v>
          </cell>
        </row>
        <row r="35">
          <cell r="AE35">
            <v>294292750</v>
          </cell>
        </row>
        <row r="37">
          <cell r="D37" t="str">
            <v>SALÓN</v>
          </cell>
          <cell r="I37">
            <v>2199963175</v>
          </cell>
          <cell r="K37">
            <v>2151979656</v>
          </cell>
          <cell r="M37">
            <v>2342696073</v>
          </cell>
          <cell r="O37">
            <v>2395197100</v>
          </cell>
          <cell r="Q37">
            <v>2034689000</v>
          </cell>
          <cell r="S37">
            <v>2480299300</v>
          </cell>
          <cell r="U37">
            <v>2433466400</v>
          </cell>
          <cell r="W37">
            <v>2517033700</v>
          </cell>
          <cell r="Y37">
            <v>2287131593</v>
          </cell>
          <cell r="AA37">
            <v>1942142850</v>
          </cell>
          <cell r="AC37">
            <v>2355643000</v>
          </cell>
          <cell r="AE37">
            <v>1845173250</v>
          </cell>
        </row>
        <row r="38">
          <cell r="D38" t="str">
            <v>DELIVERY</v>
          </cell>
          <cell r="I38">
            <v>758588562</v>
          </cell>
          <cell r="K38">
            <v>706404772</v>
          </cell>
          <cell r="M38">
            <v>697864357</v>
          </cell>
          <cell r="O38">
            <v>762569497</v>
          </cell>
          <cell r="Q38">
            <v>703247000</v>
          </cell>
          <cell r="S38">
            <v>838522704</v>
          </cell>
          <cell r="U38">
            <v>862465700</v>
          </cell>
          <cell r="W38">
            <v>841818300</v>
          </cell>
          <cell r="Y38">
            <v>801421158</v>
          </cell>
          <cell r="AA38">
            <v>728669500</v>
          </cell>
          <cell r="AC38">
            <v>855801450</v>
          </cell>
          <cell r="AE38">
            <v>737130250</v>
          </cell>
        </row>
        <row r="39">
          <cell r="D39" t="str">
            <v>UBER</v>
          </cell>
          <cell r="AE39">
            <v>524643249.99999994</v>
          </cell>
        </row>
        <row r="40">
          <cell r="D40" t="str">
            <v>PEDIDOSYA</v>
          </cell>
          <cell r="AE40">
            <v>103383000</v>
          </cell>
        </row>
        <row r="41">
          <cell r="D41" t="str">
            <v>RAPPI</v>
          </cell>
          <cell r="AE41">
            <v>90630250</v>
          </cell>
        </row>
        <row r="42">
          <cell r="D42" t="str">
            <v>TOTAL</v>
          </cell>
          <cell r="I42">
            <v>2958551737</v>
          </cell>
          <cell r="K42">
            <v>2858384428</v>
          </cell>
          <cell r="M42">
            <v>3040560430</v>
          </cell>
          <cell r="O42">
            <v>3157766597</v>
          </cell>
          <cell r="Q42">
            <v>2737936000</v>
          </cell>
          <cell r="S42">
            <v>3318822004</v>
          </cell>
          <cell r="U42">
            <v>3295932100</v>
          </cell>
          <cell r="W42">
            <v>3358852000</v>
          </cell>
          <cell r="Y42">
            <v>3088552751</v>
          </cell>
          <cell r="AA42">
            <v>2670812350</v>
          </cell>
          <cell r="AC42">
            <v>3211444450</v>
          </cell>
          <cell r="AE42">
            <v>2582303500</v>
          </cell>
        </row>
        <row r="44">
          <cell r="I44" t="str">
            <v xml:space="preserve"> MAY 2025</v>
          </cell>
          <cell r="K44" t="str">
            <v xml:space="preserve"> JUN 2025</v>
          </cell>
          <cell r="M44" t="str">
            <v xml:space="preserve"> JUL 2025</v>
          </cell>
          <cell r="O44" t="str">
            <v xml:space="preserve"> AGO 2025</v>
          </cell>
          <cell r="Q44" t="str">
            <v xml:space="preserve"> SEP 2025</v>
          </cell>
          <cell r="S44" t="str">
            <v xml:space="preserve"> OCT 2025</v>
          </cell>
          <cell r="U44" t="str">
            <v xml:space="preserve"> NOV 2025</v>
          </cell>
          <cell r="W44" t="str">
            <v xml:space="preserve"> DIC 2025</v>
          </cell>
          <cell r="Y44" t="str">
            <v xml:space="preserve"> ENE 2026</v>
          </cell>
          <cell r="AA44" t="str">
            <v xml:space="preserve"> FEB 2026</v>
          </cell>
          <cell r="AC44" t="str">
            <v xml:space="preserve"> ACUMULADA MAR</v>
          </cell>
          <cell r="AE44" t="str">
            <v>PROYECCIÓN ABR 2026</v>
          </cell>
        </row>
        <row r="56">
          <cell r="C56" t="str">
            <v>TOTAL ALIVA</v>
          </cell>
          <cell r="I56">
            <v>702377036.75999987</v>
          </cell>
          <cell r="K56">
            <v>622607019.43999994</v>
          </cell>
          <cell r="M56">
            <v>699626928.90999997</v>
          </cell>
          <cell r="O56">
            <v>731250530.83599997</v>
          </cell>
          <cell r="Q56">
            <v>658975209.25949991</v>
          </cell>
          <cell r="S56">
            <v>791332750.65249991</v>
          </cell>
          <cell r="U56">
            <v>764954405.15000045</v>
          </cell>
          <cell r="W56">
            <v>802164790.51214087</v>
          </cell>
          <cell r="Y56">
            <v>719236837.28399992</v>
          </cell>
          <cell r="AA56">
            <v>638015574.58729994</v>
          </cell>
          <cell r="AC56">
            <v>756538481.79949999</v>
          </cell>
          <cell r="AE56">
            <v>713900289.6334399</v>
          </cell>
        </row>
      </sheetData>
      <sheetData sheetId="1">
        <row r="3">
          <cell r="K3">
            <v>11919250</v>
          </cell>
          <cell r="O3">
            <v>48540050</v>
          </cell>
        </row>
        <row r="4">
          <cell r="E4">
            <v>0</v>
          </cell>
          <cell r="K4">
            <v>2270150</v>
          </cell>
          <cell r="O4">
            <v>17625400</v>
          </cell>
        </row>
        <row r="5">
          <cell r="E5">
            <v>0</v>
          </cell>
          <cell r="K5">
            <v>1662350</v>
          </cell>
          <cell r="O5">
            <v>66165450</v>
          </cell>
        </row>
        <row r="6">
          <cell r="O6">
            <v>37522250</v>
          </cell>
        </row>
        <row r="7">
          <cell r="E7">
            <v>4785400</v>
          </cell>
          <cell r="O7">
            <v>15760700</v>
          </cell>
        </row>
        <row r="8">
          <cell r="E8">
            <v>1793850</v>
          </cell>
          <cell r="O8">
            <v>53282950</v>
          </cell>
        </row>
        <row r="9">
          <cell r="O9">
            <v>187000</v>
          </cell>
        </row>
        <row r="10">
          <cell r="E10">
            <v>3194900</v>
          </cell>
          <cell r="O10">
            <v>221500</v>
          </cell>
        </row>
        <row r="11">
          <cell r="E11">
            <v>1883400</v>
          </cell>
          <cell r="O11">
            <v>408500</v>
          </cell>
        </row>
        <row r="12">
          <cell r="O12">
            <v>46051700</v>
          </cell>
        </row>
        <row r="13">
          <cell r="E13">
            <v>4789050</v>
          </cell>
          <cell r="O13">
            <v>8988650</v>
          </cell>
        </row>
        <row r="14">
          <cell r="E14">
            <v>2122850</v>
          </cell>
          <cell r="O14">
            <v>55040350</v>
          </cell>
        </row>
        <row r="15">
          <cell r="O15">
            <v>27840350</v>
          </cell>
        </row>
        <row r="16">
          <cell r="E16">
            <v>4951550</v>
          </cell>
          <cell r="O16">
            <v>15620150</v>
          </cell>
        </row>
        <row r="17">
          <cell r="E17">
            <v>961550</v>
          </cell>
          <cell r="O17">
            <v>43460500</v>
          </cell>
        </row>
        <row r="18">
          <cell r="O18">
            <v>39889250</v>
          </cell>
        </row>
        <row r="19">
          <cell r="E19">
            <v>5654750</v>
          </cell>
          <cell r="O19">
            <v>17589200</v>
          </cell>
        </row>
        <row r="20">
          <cell r="E20">
            <v>1162350</v>
          </cell>
          <cell r="O20">
            <v>57478450</v>
          </cell>
        </row>
        <row r="21">
          <cell r="O21">
            <v>35297650</v>
          </cell>
        </row>
        <row r="22">
          <cell r="E22">
            <v>5069400</v>
          </cell>
          <cell r="O22">
            <v>11884350</v>
          </cell>
        </row>
        <row r="23">
          <cell r="E23">
            <v>3060100</v>
          </cell>
          <cell r="O23">
            <v>47182000</v>
          </cell>
        </row>
        <row r="24">
          <cell r="O24">
            <v>19080350</v>
          </cell>
        </row>
        <row r="25">
          <cell r="E25">
            <v>2828350</v>
          </cell>
          <cell r="O25">
            <v>21283700</v>
          </cell>
        </row>
        <row r="26">
          <cell r="E26">
            <v>2942650</v>
          </cell>
          <cell r="O26">
            <v>40364050</v>
          </cell>
        </row>
        <row r="27">
          <cell r="O27">
            <v>29123800</v>
          </cell>
        </row>
        <row r="28">
          <cell r="E28">
            <v>2747750</v>
          </cell>
          <cell r="O28">
            <v>13820250</v>
          </cell>
        </row>
        <row r="29">
          <cell r="E29">
            <v>1162550</v>
          </cell>
          <cell r="O29">
            <v>42944050</v>
          </cell>
        </row>
        <row r="30">
          <cell r="O30">
            <v>45327600</v>
          </cell>
        </row>
        <row r="31">
          <cell r="E31">
            <v>6153500</v>
          </cell>
          <cell r="O31">
            <v>7617850</v>
          </cell>
        </row>
        <row r="32">
          <cell r="E32">
            <v>1925000</v>
          </cell>
          <cell r="O32">
            <v>52945450</v>
          </cell>
        </row>
        <row r="36">
          <cell r="O36">
            <v>93009400</v>
          </cell>
        </row>
        <row r="37">
          <cell r="O37">
            <v>18406450</v>
          </cell>
        </row>
        <row r="38">
          <cell r="O38">
            <v>16463700</v>
          </cell>
        </row>
        <row r="42">
          <cell r="O42">
            <v>14761692.222200001</v>
          </cell>
        </row>
        <row r="43">
          <cell r="O43">
            <v>13455742.739600001</v>
          </cell>
        </row>
        <row r="44">
          <cell r="O44">
            <v>3350546.3166</v>
          </cell>
        </row>
        <row r="45">
          <cell r="O45">
            <v>13973007.524699999</v>
          </cell>
        </row>
        <row r="46">
          <cell r="O46">
            <v>9872666.8172999993</v>
          </cell>
        </row>
        <row r="47">
          <cell r="O47">
            <v>13973007.524699999</v>
          </cell>
        </row>
        <row r="48">
          <cell r="O48">
            <v>11472409.6165</v>
          </cell>
        </row>
        <row r="49">
          <cell r="O49">
            <v>10371788.386399999</v>
          </cell>
        </row>
        <row r="50">
          <cell r="O50">
            <v>11371538.231199998</v>
          </cell>
        </row>
        <row r="51">
          <cell r="O51">
            <v>10807406.9264</v>
          </cell>
        </row>
      </sheetData>
      <sheetData sheetId="2">
        <row r="4">
          <cell r="G4">
            <v>2311686.5386999999</v>
          </cell>
        </row>
        <row r="5">
          <cell r="G5">
            <v>4212631.5230999999</v>
          </cell>
        </row>
        <row r="6">
          <cell r="G6">
            <v>2467015.2514</v>
          </cell>
        </row>
        <row r="7">
          <cell r="G7">
            <v>2280526.8289999999</v>
          </cell>
        </row>
        <row r="8">
          <cell r="G8">
            <v>233186.02160000001</v>
          </cell>
        </row>
        <row r="9">
          <cell r="G9">
            <v>2942657.5373999998</v>
          </cell>
        </row>
        <row r="11">
          <cell r="G11">
            <v>1768311.2734000001</v>
          </cell>
        </row>
        <row r="12">
          <cell r="G12">
            <v>2512418.6661</v>
          </cell>
        </row>
        <row r="13">
          <cell r="G13">
            <v>2207619.7534999996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4558-F1D2-4247-852A-56935359FBDC}">
  <sheetPr>
    <pageSetUpPr fitToPage="1"/>
  </sheetPr>
  <dimension ref="B1:AO77"/>
  <sheetViews>
    <sheetView showGridLines="0" tabSelected="1" topLeftCell="A12" zoomScale="55" zoomScaleNormal="55" workbookViewId="0">
      <selection activeCell="I11" sqref="I11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29.7109375" customWidth="1"/>
    <col min="4" max="4" width="14.7109375" bestFit="1" customWidth="1"/>
    <col min="5" max="5" width="19.85546875" bestFit="1" customWidth="1"/>
    <col min="6" max="6" width="8" bestFit="1" customWidth="1"/>
    <col min="7" max="7" width="24.5703125" customWidth="1"/>
    <col min="8" max="8" width="8" bestFit="1" customWidth="1"/>
    <col min="9" max="9" width="22.7109375" bestFit="1" customWidth="1"/>
    <col min="10" max="10" width="8" bestFit="1" customWidth="1"/>
    <col min="11" max="11" width="21.42578125" bestFit="1" customWidth="1"/>
    <col min="12" max="12" width="8" bestFit="1" customWidth="1"/>
    <col min="13" max="13" width="21.7109375" bestFit="1" customWidth="1"/>
    <col min="14" max="14" width="8" bestFit="1" customWidth="1"/>
    <col min="15" max="15" width="21.42578125" bestFit="1" customWidth="1"/>
    <col min="16" max="16" width="8" bestFit="1" customWidth="1"/>
    <col min="17" max="17" width="21.42578125" bestFit="1" customWidth="1"/>
    <col min="18" max="18" width="8" bestFit="1" customWidth="1"/>
    <col min="19" max="19" width="21.7109375" bestFit="1" customWidth="1"/>
    <col min="20" max="20" width="8" bestFit="1" customWidth="1"/>
    <col min="21" max="21" width="21.7109375" bestFit="1" customWidth="1"/>
    <col min="22" max="22" width="8" bestFit="1" customWidth="1"/>
    <col min="23" max="23" width="21.7109375" bestFit="1" customWidth="1"/>
    <col min="24" max="24" width="8" bestFit="1" customWidth="1"/>
    <col min="25" max="25" width="21.7109375" bestFit="1" customWidth="1"/>
    <col min="26" max="26" width="8" bestFit="1" customWidth="1"/>
    <col min="27" max="27" width="21.7109375" bestFit="1" customWidth="1"/>
    <col min="28" max="28" width="8" bestFit="1" customWidth="1"/>
    <col min="29" max="29" width="21.42578125" bestFit="1" customWidth="1"/>
    <col min="30" max="30" width="9.7109375" customWidth="1"/>
    <col min="31" max="31" width="23.7109375" bestFit="1" customWidth="1"/>
    <col min="32" max="32" width="8" bestFit="1" customWidth="1"/>
    <col min="33" max="33" width="23.7109375" bestFit="1" customWidth="1"/>
    <col min="34" max="34" width="8" bestFit="1" customWidth="1"/>
    <col min="35" max="35" width="21.140625" hidden="1" customWidth="1"/>
    <col min="36" max="36" width="8" hidden="1" customWidth="1"/>
    <col min="37" max="37" width="27.42578125" bestFit="1" customWidth="1"/>
    <col min="38" max="38" width="11.85546875" bestFit="1" customWidth="1"/>
    <col min="39" max="40" width="8.28515625" hidden="1" customWidth="1"/>
    <col min="41" max="41" width="15.42578125" bestFit="1" customWidth="1"/>
  </cols>
  <sheetData>
    <row r="1" spans="2:4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3" t="s">
        <v>1</v>
      </c>
      <c r="O1" s="3" t="s">
        <v>2</v>
      </c>
      <c r="P1" s="5" t="s">
        <v>3</v>
      </c>
      <c r="Q1" s="6"/>
      <c r="R1" s="3"/>
      <c r="S1" s="7"/>
      <c r="T1" s="7"/>
      <c r="U1" s="7"/>
      <c r="V1" s="2"/>
      <c r="W1" s="2"/>
      <c r="X1" s="2"/>
      <c r="Y1" s="2"/>
      <c r="Z1" s="7"/>
      <c r="AA1" s="7"/>
      <c r="AB1" s="2"/>
      <c r="AC1" s="8"/>
      <c r="AD1" s="6" t="s">
        <v>2</v>
      </c>
      <c r="AE1" s="6"/>
      <c r="AF1" s="6"/>
      <c r="AG1" s="6"/>
      <c r="AH1" s="6"/>
      <c r="AI1" s="8"/>
      <c r="AJ1" s="8"/>
      <c r="AK1" s="8"/>
      <c r="AL1" s="2"/>
      <c r="AM1" s="2"/>
      <c r="AN1" s="2"/>
      <c r="AO1" s="9"/>
    </row>
    <row r="2" spans="2:41" ht="23.25" x14ac:dyDescent="0.35">
      <c r="B2" s="10"/>
      <c r="D2" s="11" t="s">
        <v>4</v>
      </c>
      <c r="E2" s="11"/>
      <c r="F2" s="11"/>
      <c r="G2" s="11"/>
      <c r="H2" s="11"/>
      <c r="I2" s="11"/>
      <c r="J2" s="11"/>
      <c r="K2" s="11"/>
      <c r="L2" s="5"/>
      <c r="M2" s="12">
        <v>6</v>
      </c>
      <c r="N2" s="5">
        <v>5</v>
      </c>
      <c r="O2" s="5"/>
      <c r="P2" s="5"/>
      <c r="Q2" s="13"/>
      <c r="R2" s="5"/>
      <c r="S2" s="14"/>
      <c r="T2" s="14"/>
      <c r="U2" s="14"/>
      <c r="Z2" s="14"/>
      <c r="AA2" s="14"/>
      <c r="AC2" s="15"/>
      <c r="AD2" s="13" t="s">
        <v>0</v>
      </c>
      <c r="AE2" s="13"/>
      <c r="AF2" s="13"/>
      <c r="AG2" s="13"/>
      <c r="AH2" s="13"/>
      <c r="AI2" s="15"/>
      <c r="AJ2" s="15"/>
      <c r="AK2" s="15"/>
      <c r="AO2" s="16"/>
    </row>
    <row r="3" spans="2:41" ht="23.25" x14ac:dyDescent="0.35">
      <c r="B3" s="10"/>
      <c r="D3" s="11" t="s">
        <v>5</v>
      </c>
      <c r="E3" s="11"/>
      <c r="F3" s="11"/>
      <c r="G3" s="11"/>
      <c r="H3" s="11"/>
      <c r="I3" s="11"/>
      <c r="J3" s="11"/>
      <c r="K3" s="11"/>
      <c r="L3" s="5"/>
      <c r="M3" s="5"/>
      <c r="N3" s="5"/>
      <c r="O3" s="5"/>
      <c r="P3" s="5"/>
      <c r="Q3" s="13"/>
      <c r="R3" s="5"/>
      <c r="S3" s="14"/>
      <c r="T3" s="14"/>
      <c r="U3" s="14"/>
      <c r="Z3" s="14"/>
      <c r="AA3" s="14"/>
      <c r="AC3" s="15"/>
      <c r="AD3" s="13" t="s">
        <v>6</v>
      </c>
      <c r="AE3" s="13"/>
      <c r="AF3" s="13"/>
      <c r="AG3" s="13"/>
      <c r="AH3" s="13"/>
      <c r="AI3" s="15">
        <v>25</v>
      </c>
      <c r="AJ3" s="15">
        <v>2</v>
      </c>
      <c r="AK3" s="15"/>
      <c r="AO3" s="16"/>
    </row>
    <row r="4" spans="2:41" ht="15.75" thickBot="1" x14ac:dyDescent="0.3">
      <c r="B4" s="10"/>
      <c r="L4" s="13"/>
      <c r="M4" s="13"/>
      <c r="N4" s="13"/>
      <c r="O4" s="13"/>
      <c r="P4" s="13"/>
      <c r="Q4" s="13"/>
      <c r="R4" s="13"/>
      <c r="Z4" s="14"/>
      <c r="AA4" s="14"/>
      <c r="AC4" s="15"/>
      <c r="AD4" s="13" t="s">
        <v>7</v>
      </c>
      <c r="AE4" s="13"/>
      <c r="AF4" s="13"/>
      <c r="AG4" s="13"/>
      <c r="AH4" s="13"/>
      <c r="AI4" s="15"/>
      <c r="AJ4" s="15"/>
      <c r="AK4" s="15"/>
      <c r="AO4" s="16"/>
    </row>
    <row r="5" spans="2:41" ht="46.9" customHeight="1" x14ac:dyDescent="0.25">
      <c r="B5" s="10"/>
      <c r="C5" s="17" t="s">
        <v>8</v>
      </c>
      <c r="D5" s="17" t="s">
        <v>9</v>
      </c>
      <c r="E5" s="18" t="s">
        <v>10</v>
      </c>
      <c r="F5" s="19" t="s">
        <v>11</v>
      </c>
      <c r="G5" s="19" t="s">
        <v>12</v>
      </c>
      <c r="H5" s="20" t="s">
        <v>11</v>
      </c>
      <c r="I5" s="21" t="s">
        <v>13</v>
      </c>
      <c r="J5" s="21" t="s">
        <v>11</v>
      </c>
      <c r="K5" s="21" t="s">
        <v>14</v>
      </c>
      <c r="L5" s="21" t="s">
        <v>11</v>
      </c>
      <c r="M5" s="21" t="s">
        <v>15</v>
      </c>
      <c r="N5" s="21" t="s">
        <v>11</v>
      </c>
      <c r="O5" s="21" t="s">
        <v>16</v>
      </c>
      <c r="P5" s="21" t="s">
        <v>11</v>
      </c>
      <c r="Q5" s="21" t="s">
        <v>17</v>
      </c>
      <c r="R5" s="21" t="s">
        <v>11</v>
      </c>
      <c r="S5" s="21" t="s">
        <v>18</v>
      </c>
      <c r="T5" s="21" t="s">
        <v>11</v>
      </c>
      <c r="U5" s="21" t="s">
        <v>19</v>
      </c>
      <c r="V5" s="21" t="s">
        <v>11</v>
      </c>
      <c r="W5" s="21" t="s">
        <v>20</v>
      </c>
      <c r="X5" s="21" t="s">
        <v>11</v>
      </c>
      <c r="Y5" s="21" t="s">
        <v>21</v>
      </c>
      <c r="Z5" s="21" t="s">
        <v>11</v>
      </c>
      <c r="AA5" s="21" t="s">
        <v>22</v>
      </c>
      <c r="AB5" s="21" t="s">
        <v>11</v>
      </c>
      <c r="AC5" s="21" t="s">
        <v>23</v>
      </c>
      <c r="AD5" s="21" t="s">
        <v>11</v>
      </c>
      <c r="AE5" s="18" t="s">
        <v>24</v>
      </c>
      <c r="AF5" s="20" t="s">
        <v>11</v>
      </c>
      <c r="AG5" s="22" t="s">
        <v>25</v>
      </c>
      <c r="AH5" s="21" t="s">
        <v>11</v>
      </c>
      <c r="AI5" s="23" t="s">
        <v>26</v>
      </c>
      <c r="AJ5" s="23" t="s">
        <v>11</v>
      </c>
      <c r="AK5" s="18" t="s">
        <v>27</v>
      </c>
      <c r="AL5" s="20" t="s">
        <v>11</v>
      </c>
      <c r="AO5" s="16"/>
    </row>
    <row r="6" spans="2:41" x14ac:dyDescent="0.25">
      <c r="B6" s="10"/>
      <c r="C6" s="24" t="s">
        <v>28</v>
      </c>
      <c r="D6" s="25" t="s">
        <v>29</v>
      </c>
      <c r="E6" s="26">
        <f>[1]BASE_VENTA!E31</f>
        <v>6153500</v>
      </c>
      <c r="F6" s="27">
        <f>IFERROR(E6/E$8,0)</f>
        <v>0.76171318932970233</v>
      </c>
      <c r="G6" s="28">
        <f>[1]BASE_VENTA!O3+E6</f>
        <v>54693550</v>
      </c>
      <c r="H6" s="29">
        <f>IFERROR(G6/G$8,0)</f>
        <v>0.73667349326106701</v>
      </c>
      <c r="I6" s="30">
        <v>307783172</v>
      </c>
      <c r="J6" s="27">
        <v>0.73786289184459752</v>
      </c>
      <c r="K6" s="30">
        <v>297710274</v>
      </c>
      <c r="L6" s="27">
        <v>0.75103562712611649</v>
      </c>
      <c r="M6" s="30">
        <v>319117385</v>
      </c>
      <c r="N6" s="27">
        <v>0.76422436651221182</v>
      </c>
      <c r="O6" s="30">
        <v>331754600</v>
      </c>
      <c r="P6" s="27">
        <v>0.7647972675619108</v>
      </c>
      <c r="Q6" s="30">
        <v>288438700</v>
      </c>
      <c r="R6" s="31">
        <v>0.76375878840259204</v>
      </c>
      <c r="S6" s="30">
        <v>344115900</v>
      </c>
      <c r="T6" s="31">
        <v>0.76330278119065742</v>
      </c>
      <c r="U6" s="30">
        <v>335236400</v>
      </c>
      <c r="V6" s="31">
        <v>0.7431877786374449</v>
      </c>
      <c r="W6" s="30">
        <v>339896400</v>
      </c>
      <c r="X6" s="31">
        <v>0.75398826081748371</v>
      </c>
      <c r="Y6" s="32">
        <v>311546100</v>
      </c>
      <c r="Z6" s="27">
        <v>0.75398826081748371</v>
      </c>
      <c r="AA6" s="30">
        <v>261416950</v>
      </c>
      <c r="AB6" s="31">
        <v>0.73815745650934872</v>
      </c>
      <c r="AC6" s="30">
        <v>330678700</v>
      </c>
      <c r="AD6" s="31">
        <v>0.74031569658802632</v>
      </c>
      <c r="AE6" s="33">
        <f>(G6)/$M$2*30</f>
        <v>273467750</v>
      </c>
      <c r="AF6" s="29">
        <f>IFERROR(AE6/AE$8,0)</f>
        <v>0.73667349326106701</v>
      </c>
      <c r="AG6" s="32">
        <v>293322365</v>
      </c>
      <c r="AH6" s="27">
        <v>0.72035784339441944</v>
      </c>
      <c r="AI6" s="30"/>
      <c r="AJ6" s="27" t="e">
        <f>AI6/AI8</f>
        <v>#DIV/0!</v>
      </c>
      <c r="AK6" s="26">
        <f>(AA6+AC6+AE6)/3*12</f>
        <v>3462253600</v>
      </c>
      <c r="AL6" s="29">
        <f>IFERROR(AK6/AK$8,0)</f>
        <v>0.73850996158195081</v>
      </c>
      <c r="AO6" s="16"/>
    </row>
    <row r="7" spans="2:41" x14ac:dyDescent="0.25">
      <c r="B7" s="10"/>
      <c r="C7" s="34"/>
      <c r="D7" s="35" t="s">
        <v>30</v>
      </c>
      <c r="E7" s="33">
        <f>[1]BASE_VENTA!E32</f>
        <v>1925000</v>
      </c>
      <c r="F7" s="31">
        <f>IFERROR(E7/E$8,0)</f>
        <v>0.23828681067029769</v>
      </c>
      <c r="G7" s="36">
        <f>[1]BASE_VENTA!O4+E7</f>
        <v>19550400</v>
      </c>
      <c r="H7" s="37">
        <f>IFERROR(G7/G$8,0)</f>
        <v>0.26332650673893293</v>
      </c>
      <c r="I7" s="32">
        <v>109344692</v>
      </c>
      <c r="J7" s="31">
        <v>0.26213710815540242</v>
      </c>
      <c r="K7" s="32">
        <v>98689395</v>
      </c>
      <c r="L7" s="31">
        <v>0.24896437287388351</v>
      </c>
      <c r="M7" s="32">
        <v>98452898</v>
      </c>
      <c r="N7" s="31">
        <v>0.23577563348778821</v>
      </c>
      <c r="O7" s="32">
        <v>102026500</v>
      </c>
      <c r="P7" s="31">
        <v>0.23520273243808917</v>
      </c>
      <c r="Q7" s="32">
        <v>89218100</v>
      </c>
      <c r="R7" s="31">
        <v>0.23624121159740802</v>
      </c>
      <c r="S7" s="32">
        <v>106709000</v>
      </c>
      <c r="T7" s="31">
        <v>0.23669721880934261</v>
      </c>
      <c r="U7" s="32">
        <v>115842600</v>
      </c>
      <c r="V7" s="31">
        <v>0.2568122213625551</v>
      </c>
      <c r="W7" s="32">
        <v>110901600</v>
      </c>
      <c r="X7" s="31">
        <v>0.24601173918251634</v>
      </c>
      <c r="Y7" s="32">
        <v>105415900</v>
      </c>
      <c r="Z7" s="31">
        <v>0.24601173918251634</v>
      </c>
      <c r="AA7" s="32">
        <v>92731000</v>
      </c>
      <c r="AB7" s="31">
        <v>0.26184254349065128</v>
      </c>
      <c r="AC7" s="32">
        <v>115993850</v>
      </c>
      <c r="AD7" s="31">
        <v>0.25968430341197374</v>
      </c>
      <c r="AE7" s="33">
        <f>(G7)/$M$2*30</f>
        <v>97752000</v>
      </c>
      <c r="AF7" s="37">
        <f>IFERROR(AE7/AE$8,0)</f>
        <v>0.26332650673893293</v>
      </c>
      <c r="AG7" s="32">
        <v>101887339</v>
      </c>
      <c r="AH7" s="31">
        <v>0.27964215660558062</v>
      </c>
      <c r="AI7" s="32"/>
      <c r="AJ7" s="31" t="e">
        <f>AI7/AI8</f>
        <v>#DIV/0!</v>
      </c>
      <c r="AK7" s="33">
        <f>(AA7+AC7+AE7)/3*12</f>
        <v>1225907400</v>
      </c>
      <c r="AL7" s="37">
        <f>IFERROR(AK7/AK$8,0)</f>
        <v>0.26149003841804919</v>
      </c>
      <c r="AO7" s="16"/>
    </row>
    <row r="8" spans="2:41" x14ac:dyDescent="0.25">
      <c r="B8" s="10"/>
      <c r="C8" s="38"/>
      <c r="D8" s="39" t="s">
        <v>31</v>
      </c>
      <c r="E8" s="40">
        <f t="shared" ref="E8:H8" si="0">SUM(E6:E7)</f>
        <v>8078500</v>
      </c>
      <c r="F8" s="41">
        <f t="shared" si="0"/>
        <v>1</v>
      </c>
      <c r="G8" s="42">
        <f>[1]BASE_VENTA!O5+E8</f>
        <v>74243950</v>
      </c>
      <c r="H8" s="43">
        <f t="shared" si="0"/>
        <v>1</v>
      </c>
      <c r="I8" s="42">
        <v>417127864</v>
      </c>
      <c r="J8" s="41">
        <v>1</v>
      </c>
      <c r="K8" s="42">
        <v>396399669</v>
      </c>
      <c r="L8" s="41">
        <v>1</v>
      </c>
      <c r="M8" s="42">
        <v>417570283</v>
      </c>
      <c r="N8" s="41">
        <v>1</v>
      </c>
      <c r="O8" s="42">
        <v>433781100</v>
      </c>
      <c r="P8" s="41">
        <v>1</v>
      </c>
      <c r="Q8" s="42">
        <v>377656800</v>
      </c>
      <c r="R8" s="41">
        <v>1</v>
      </c>
      <c r="S8" s="42">
        <v>450824900</v>
      </c>
      <c r="T8" s="41">
        <v>1</v>
      </c>
      <c r="U8" s="42">
        <v>451079000</v>
      </c>
      <c r="V8" s="41">
        <v>1</v>
      </c>
      <c r="W8" s="42">
        <v>450798000</v>
      </c>
      <c r="X8" s="41">
        <v>1</v>
      </c>
      <c r="Y8" s="42">
        <v>416962000</v>
      </c>
      <c r="Z8" s="41">
        <v>1</v>
      </c>
      <c r="AA8" s="42">
        <v>354147950</v>
      </c>
      <c r="AB8" s="41">
        <v>1</v>
      </c>
      <c r="AC8" s="42">
        <v>446672550</v>
      </c>
      <c r="AD8" s="41">
        <v>1</v>
      </c>
      <c r="AE8" s="40">
        <f>SUM(AE6:AE7)</f>
        <v>371219750</v>
      </c>
      <c r="AF8" s="43">
        <f>SUM(AF6:AF7)</f>
        <v>1</v>
      </c>
      <c r="AG8" s="42">
        <v>395209704</v>
      </c>
      <c r="AH8" s="41">
        <v>1</v>
      </c>
      <c r="AI8" s="42"/>
      <c r="AJ8" s="41" t="e">
        <f>SUM(AJ6:AJ7)</f>
        <v>#DIV/0!</v>
      </c>
      <c r="AK8" s="40">
        <f t="shared" ref="AK8:AL8" si="1">SUM(AK6:AK7)</f>
        <v>4688161000</v>
      </c>
      <c r="AL8" s="43">
        <f t="shared" si="1"/>
        <v>1</v>
      </c>
      <c r="AO8" s="44"/>
    </row>
    <row r="9" spans="2:41" x14ac:dyDescent="0.25">
      <c r="B9" s="10"/>
      <c r="C9" s="24" t="s">
        <v>32</v>
      </c>
      <c r="D9" s="25" t="s">
        <v>29</v>
      </c>
      <c r="E9" s="26">
        <f>[1]BASE_VENTA!E13</f>
        <v>4789050</v>
      </c>
      <c r="F9" s="27">
        <f>IFERROR(E9/E$8,0)</f>
        <v>0.59281426007303339</v>
      </c>
      <c r="G9" s="28">
        <f>[1]BASE_VENTA!O6+E9</f>
        <v>42311300</v>
      </c>
      <c r="H9" s="29">
        <f>IFERROR(G9/G$11,0)</f>
        <v>0.70290564724390869</v>
      </c>
      <c r="I9" s="30">
        <v>263976387</v>
      </c>
      <c r="J9" s="27">
        <v>0.71967355795290988</v>
      </c>
      <c r="K9" s="30">
        <v>252194586</v>
      </c>
      <c r="L9" s="27">
        <v>0.72552201274720285</v>
      </c>
      <c r="M9" s="30">
        <v>277787193</v>
      </c>
      <c r="N9" s="27">
        <v>0.74136510626572305</v>
      </c>
      <c r="O9" s="30">
        <v>274018400</v>
      </c>
      <c r="P9" s="27">
        <v>0.72761338582670687</v>
      </c>
      <c r="Q9" s="30">
        <v>233788100</v>
      </c>
      <c r="R9" s="31">
        <v>0.70980729484371685</v>
      </c>
      <c r="S9" s="30">
        <v>276306500</v>
      </c>
      <c r="T9" s="31">
        <v>0.70795631425551675</v>
      </c>
      <c r="U9" s="30">
        <v>269857100</v>
      </c>
      <c r="V9" s="31">
        <v>0.7066902703997926</v>
      </c>
      <c r="W9" s="30">
        <v>289371300</v>
      </c>
      <c r="X9" s="31">
        <v>0.72283064976031064</v>
      </c>
      <c r="Y9" s="32">
        <v>247398350</v>
      </c>
      <c r="Z9" s="27">
        <v>0.72283064976031064</v>
      </c>
      <c r="AA9" s="30">
        <v>209207450</v>
      </c>
      <c r="AB9" s="31">
        <v>0.70274116398277475</v>
      </c>
      <c r="AC9" s="30">
        <v>255183900</v>
      </c>
      <c r="AD9" s="31">
        <v>0.71046758509861696</v>
      </c>
      <c r="AE9" s="33">
        <f t="shared" ref="AE9:AE10" si="2">(G9)/$M$2*30</f>
        <v>211556500</v>
      </c>
      <c r="AF9" s="29">
        <f>IFERROR(AE9/AE$11,0)</f>
        <v>0.70290564724390869</v>
      </c>
      <c r="AG9" s="32">
        <v>249177587</v>
      </c>
      <c r="AH9" s="27">
        <v>0.70256106653224226</v>
      </c>
      <c r="AI9" s="30"/>
      <c r="AJ9" s="27" t="e">
        <f>AI9/AI11</f>
        <v>#DIV/0!</v>
      </c>
      <c r="AK9" s="26">
        <f t="shared" ref="AK9:AK10" si="3">(AA9+AC9+AE9)/3*12</f>
        <v>2703791400</v>
      </c>
      <c r="AL9" s="29">
        <f>IFERROR(AK9/AK$11,0)</f>
        <v>0.70569011247177482</v>
      </c>
      <c r="AO9" s="44"/>
    </row>
    <row r="10" spans="2:41" x14ac:dyDescent="0.25">
      <c r="B10" s="10"/>
      <c r="C10" s="34"/>
      <c r="D10" s="35" t="s">
        <v>30</v>
      </c>
      <c r="E10" s="33">
        <f>[1]BASE_VENTA!E14</f>
        <v>2122850</v>
      </c>
      <c r="F10" s="31">
        <f>IFERROR(E10/E$8,0)</f>
        <v>0.26277774339295662</v>
      </c>
      <c r="G10" s="36">
        <f>[1]BASE_VENTA!O7+E10</f>
        <v>17883550</v>
      </c>
      <c r="H10" s="37">
        <f>IFERROR(G10/G$11,0)</f>
        <v>0.29709435275609125</v>
      </c>
      <c r="I10" s="32">
        <v>102823788</v>
      </c>
      <c r="J10" s="31">
        <v>0.28032644204709006</v>
      </c>
      <c r="K10" s="32">
        <v>95423793</v>
      </c>
      <c r="L10" s="31">
        <v>0.27447798725279715</v>
      </c>
      <c r="M10" s="32">
        <v>96909688</v>
      </c>
      <c r="N10" s="31">
        <v>0.25863489373427689</v>
      </c>
      <c r="O10" s="32">
        <v>102580499</v>
      </c>
      <c r="P10" s="31">
        <v>0.27238661417329318</v>
      </c>
      <c r="Q10" s="32">
        <v>95559600</v>
      </c>
      <c r="R10" s="31">
        <v>0.29019270515628315</v>
      </c>
      <c r="S10" s="32">
        <v>113981000</v>
      </c>
      <c r="T10" s="31">
        <v>0.29204368574448325</v>
      </c>
      <c r="U10" s="32">
        <v>112003400</v>
      </c>
      <c r="V10" s="31">
        <v>0.2933097296002074</v>
      </c>
      <c r="W10" s="32">
        <v>110959400</v>
      </c>
      <c r="X10" s="31">
        <v>0.27716935023968936</v>
      </c>
      <c r="Y10" s="32">
        <v>101132250</v>
      </c>
      <c r="Z10" s="31">
        <v>0.27716935023968936</v>
      </c>
      <c r="AA10" s="32">
        <v>88494550</v>
      </c>
      <c r="AB10" s="31">
        <v>0.2972588360172253</v>
      </c>
      <c r="AC10" s="32">
        <v>103993500</v>
      </c>
      <c r="AD10" s="31">
        <v>0.28953241490138298</v>
      </c>
      <c r="AE10" s="33">
        <f t="shared" si="2"/>
        <v>89417750</v>
      </c>
      <c r="AF10" s="37">
        <f>IFERROR(AE10/AE$11,0)</f>
        <v>0.29709435275609125</v>
      </c>
      <c r="AG10" s="32">
        <v>100338803</v>
      </c>
      <c r="AH10" s="31">
        <v>0.29743893346775774</v>
      </c>
      <c r="AI10" s="32"/>
      <c r="AJ10" s="31" t="e">
        <f>AI10/AI11</f>
        <v>#DIV/0!</v>
      </c>
      <c r="AK10" s="33">
        <f t="shared" si="3"/>
        <v>1127623200</v>
      </c>
      <c r="AL10" s="37">
        <f>IFERROR(AK10/AK$11,0)</f>
        <v>0.29430988752822523</v>
      </c>
      <c r="AO10" s="44"/>
    </row>
    <row r="11" spans="2:41" x14ac:dyDescent="0.25">
      <c r="B11" s="10"/>
      <c r="C11" s="38"/>
      <c r="D11" s="39" t="s">
        <v>31</v>
      </c>
      <c r="E11" s="40">
        <f t="shared" ref="E11:H11" si="4">SUM(E9:E10)</f>
        <v>6911900</v>
      </c>
      <c r="F11" s="41">
        <f t="shared" si="4"/>
        <v>0.85559200346599007</v>
      </c>
      <c r="G11" s="42">
        <f>[1]BASE_VENTA!O8+E11</f>
        <v>60194850</v>
      </c>
      <c r="H11" s="43">
        <f t="shared" si="4"/>
        <v>1</v>
      </c>
      <c r="I11" s="42">
        <v>366800175</v>
      </c>
      <c r="J11" s="41">
        <v>1</v>
      </c>
      <c r="K11" s="42">
        <v>347618379</v>
      </c>
      <c r="L11" s="41">
        <v>1</v>
      </c>
      <c r="M11" s="42">
        <v>374696881</v>
      </c>
      <c r="N11" s="41">
        <v>1</v>
      </c>
      <c r="O11" s="42">
        <v>376598899</v>
      </c>
      <c r="P11" s="41">
        <v>1</v>
      </c>
      <c r="Q11" s="42">
        <v>329347700</v>
      </c>
      <c r="R11" s="41">
        <v>1</v>
      </c>
      <c r="S11" s="42">
        <v>390287500</v>
      </c>
      <c r="T11" s="41">
        <v>1</v>
      </c>
      <c r="U11" s="42">
        <v>381860500</v>
      </c>
      <c r="V11" s="41">
        <v>1</v>
      </c>
      <c r="W11" s="42">
        <v>400330700</v>
      </c>
      <c r="X11" s="41">
        <v>1</v>
      </c>
      <c r="Y11" s="42">
        <v>348530600</v>
      </c>
      <c r="Z11" s="41">
        <v>1</v>
      </c>
      <c r="AA11" s="42">
        <v>297702000</v>
      </c>
      <c r="AB11" s="41">
        <v>1</v>
      </c>
      <c r="AC11" s="42">
        <v>359177400</v>
      </c>
      <c r="AD11" s="41">
        <v>1</v>
      </c>
      <c r="AE11" s="40">
        <f>SUM(AE9:AE10)</f>
        <v>300974250</v>
      </c>
      <c r="AF11" s="43">
        <f>SUM(AF9:AF10)</f>
        <v>1</v>
      </c>
      <c r="AG11" s="42">
        <v>349516390</v>
      </c>
      <c r="AH11" s="41">
        <v>1</v>
      </c>
      <c r="AI11" s="42"/>
      <c r="AJ11" s="41" t="e">
        <f>SUM(AJ9:AJ10)</f>
        <v>#DIV/0!</v>
      </c>
      <c r="AK11" s="40">
        <f t="shared" ref="AK11:AL11" si="5">SUM(AK9:AK10)</f>
        <v>3831414600</v>
      </c>
      <c r="AL11" s="43">
        <f t="shared" si="5"/>
        <v>1</v>
      </c>
      <c r="AO11" s="44"/>
    </row>
    <row r="12" spans="2:41" x14ac:dyDescent="0.25">
      <c r="B12" s="10"/>
      <c r="C12" s="24" t="s">
        <v>33</v>
      </c>
      <c r="D12" s="25" t="s">
        <v>29</v>
      </c>
      <c r="E12" s="26">
        <f>[1]BASE_VENTA!E4</f>
        <v>0</v>
      </c>
      <c r="F12" s="27">
        <f>IFERROR(E12/E$8,0)</f>
        <v>0</v>
      </c>
      <c r="G12" s="28">
        <f>[1]BASE_VENTA!O9+E12</f>
        <v>187000</v>
      </c>
      <c r="H12" s="29">
        <f>IFERROR(G12/G$14,0)</f>
        <v>0.45777233782129745</v>
      </c>
      <c r="I12" s="32">
        <v>302849573</v>
      </c>
      <c r="J12" s="27">
        <v>0.82227845701908464</v>
      </c>
      <c r="K12" s="32">
        <v>272866404</v>
      </c>
      <c r="L12" s="27">
        <v>0.81669175186276599</v>
      </c>
      <c r="M12" s="30">
        <v>292883377</v>
      </c>
      <c r="N12" s="27">
        <v>0.83838730904183734</v>
      </c>
      <c r="O12" s="30">
        <v>289541900</v>
      </c>
      <c r="P12" s="27">
        <v>0.82526674901006902</v>
      </c>
      <c r="Q12" s="30">
        <v>253466300</v>
      </c>
      <c r="R12" s="31">
        <v>0.82146176761888945</v>
      </c>
      <c r="S12" s="30">
        <v>322830800</v>
      </c>
      <c r="T12" s="31">
        <v>0.82780736596210602</v>
      </c>
      <c r="U12" s="30">
        <v>328426300</v>
      </c>
      <c r="V12" s="31">
        <v>0.82934573043624282</v>
      </c>
      <c r="W12" s="30">
        <v>335059800</v>
      </c>
      <c r="X12" s="31">
        <v>0.84109610155012704</v>
      </c>
      <c r="Y12" s="32">
        <v>313598797</v>
      </c>
      <c r="Z12" s="27">
        <v>0.84109610155012704</v>
      </c>
      <c r="AA12" s="32">
        <v>275931150</v>
      </c>
      <c r="AB12" s="31">
        <v>0.83747605503165679</v>
      </c>
      <c r="AC12" s="30">
        <v>307922500</v>
      </c>
      <c r="AD12" s="31">
        <v>0.83049307833655683</v>
      </c>
      <c r="AE12" s="33">
        <f t="shared" ref="AE12:AE13" si="6">(G12)/$M$2*30</f>
        <v>935000</v>
      </c>
      <c r="AF12" s="29">
        <f>IFERROR(AE12/AE$14,0)</f>
        <v>0.45777233782129745</v>
      </c>
      <c r="AG12" s="32">
        <v>273162177</v>
      </c>
      <c r="AH12" s="27">
        <v>0.82639112066004672</v>
      </c>
      <c r="AI12" s="30"/>
      <c r="AJ12" s="27" t="e">
        <f>AI12/AI14</f>
        <v>#DIV/0!</v>
      </c>
      <c r="AK12" s="26">
        <f t="shared" ref="AK12:AK13" si="7">(AA12+AC12+AE12)/3*12</f>
        <v>2339154600</v>
      </c>
      <c r="AL12" s="29">
        <f>IFERROR(AK12/AK$14,0)</f>
        <v>0.83268513489355189</v>
      </c>
      <c r="AO12" s="44"/>
    </row>
    <row r="13" spans="2:41" x14ac:dyDescent="0.25">
      <c r="B13" s="10"/>
      <c r="C13" s="34"/>
      <c r="D13" s="35" t="s">
        <v>30</v>
      </c>
      <c r="E13" s="33">
        <f>[1]BASE_VENTA!E5</f>
        <v>0</v>
      </c>
      <c r="F13" s="31">
        <f>IFERROR(E13/E$8,0)</f>
        <v>0</v>
      </c>
      <c r="G13" s="36">
        <f>[1]BASE_VENTA!O10+E13</f>
        <v>221500</v>
      </c>
      <c r="H13" s="37">
        <f>IFERROR(G13/G$14,0)</f>
        <v>0.54222766217870255</v>
      </c>
      <c r="I13" s="32">
        <v>65455799</v>
      </c>
      <c r="J13" s="31">
        <v>0.1777215429809153</v>
      </c>
      <c r="K13" s="32">
        <v>61231900</v>
      </c>
      <c r="L13" s="31">
        <v>0.18330824813723398</v>
      </c>
      <c r="M13" s="32">
        <v>56458000</v>
      </c>
      <c r="N13" s="31">
        <v>0.16161269095816269</v>
      </c>
      <c r="O13" s="32">
        <v>61265400</v>
      </c>
      <c r="P13" s="31">
        <v>0.17473325098993095</v>
      </c>
      <c r="Q13" s="32">
        <v>55088900</v>
      </c>
      <c r="R13" s="31">
        <v>0.17853823238111041</v>
      </c>
      <c r="S13" s="32">
        <v>67152200</v>
      </c>
      <c r="T13" s="31">
        <v>0.17219263403789395</v>
      </c>
      <c r="U13" s="32">
        <v>67580200</v>
      </c>
      <c r="V13" s="31">
        <v>0.17065426956375715</v>
      </c>
      <c r="W13" s="32">
        <v>63301100</v>
      </c>
      <c r="X13" s="31">
        <v>0.15890389844987296</v>
      </c>
      <c r="Y13" s="32">
        <v>60652250</v>
      </c>
      <c r="Z13" s="31">
        <v>0.15890389844987296</v>
      </c>
      <c r="AA13" s="32">
        <v>53548300</v>
      </c>
      <c r="AB13" s="31">
        <v>0.16252394496834324</v>
      </c>
      <c r="AC13" s="32">
        <v>62848200</v>
      </c>
      <c r="AD13" s="31">
        <v>0.16950692166344319</v>
      </c>
      <c r="AE13" s="33">
        <f t="shared" si="6"/>
        <v>1107500</v>
      </c>
      <c r="AF13" s="37">
        <f>IFERROR(AE13/AE$14,0)</f>
        <v>0.54222766217870255</v>
      </c>
      <c r="AG13" s="32">
        <v>57950685</v>
      </c>
      <c r="AH13" s="31">
        <v>0.17360887933995331</v>
      </c>
      <c r="AI13" s="32"/>
      <c r="AJ13" s="31" t="e">
        <f>AI13/AI14</f>
        <v>#DIV/0!</v>
      </c>
      <c r="AK13" s="33">
        <f t="shared" si="7"/>
        <v>470016000</v>
      </c>
      <c r="AL13" s="37">
        <f>IFERROR(AK13/AK$14,0)</f>
        <v>0.16731486510644814</v>
      </c>
      <c r="AO13" s="44"/>
    </row>
    <row r="14" spans="2:41" x14ac:dyDescent="0.25">
      <c r="B14" s="10"/>
      <c r="C14" s="38"/>
      <c r="D14" s="39" t="s">
        <v>31</v>
      </c>
      <c r="E14" s="40">
        <f t="shared" ref="E14:H14" si="8">SUM(E12:E13)</f>
        <v>0</v>
      </c>
      <c r="F14" s="41">
        <f t="shared" si="8"/>
        <v>0</v>
      </c>
      <c r="G14" s="42">
        <f>[1]BASE_VENTA!O11+E14</f>
        <v>408500</v>
      </c>
      <c r="H14" s="43">
        <f t="shared" si="8"/>
        <v>1</v>
      </c>
      <c r="I14" s="42">
        <v>368305372</v>
      </c>
      <c r="J14" s="41">
        <v>1</v>
      </c>
      <c r="K14" s="42">
        <v>334098304</v>
      </c>
      <c r="L14" s="41">
        <v>1</v>
      </c>
      <c r="M14" s="42">
        <v>349341377</v>
      </c>
      <c r="N14" s="41">
        <v>1</v>
      </c>
      <c r="O14" s="42">
        <v>350807300</v>
      </c>
      <c r="P14" s="41">
        <v>1</v>
      </c>
      <c r="Q14" s="42">
        <v>308555200</v>
      </c>
      <c r="R14" s="41">
        <v>0.99999999999999989</v>
      </c>
      <c r="S14" s="42">
        <v>389983000</v>
      </c>
      <c r="T14" s="41">
        <v>1</v>
      </c>
      <c r="U14" s="42">
        <v>396006500</v>
      </c>
      <c r="V14" s="41">
        <v>1</v>
      </c>
      <c r="W14" s="42">
        <v>398360900</v>
      </c>
      <c r="X14" s="41">
        <v>1</v>
      </c>
      <c r="Y14" s="42">
        <v>374251047</v>
      </c>
      <c r="Z14" s="41">
        <v>1</v>
      </c>
      <c r="AA14" s="42">
        <v>329479450</v>
      </c>
      <c r="AB14" s="41">
        <v>1</v>
      </c>
      <c r="AC14" s="42">
        <v>370770700</v>
      </c>
      <c r="AD14" s="41">
        <v>1</v>
      </c>
      <c r="AE14" s="40">
        <f>SUM(AE12:AE13)</f>
        <v>2042500</v>
      </c>
      <c r="AF14" s="43">
        <f>SUM(AF12:AF13)</f>
        <v>1</v>
      </c>
      <c r="AG14" s="42">
        <v>331112862</v>
      </c>
      <c r="AH14" s="41">
        <v>1</v>
      </c>
      <c r="AI14" s="42"/>
      <c r="AJ14" s="41" t="e">
        <f>SUM(AJ12:AJ13)</f>
        <v>#DIV/0!</v>
      </c>
      <c r="AK14" s="40">
        <f t="shared" ref="AK14:AL14" si="9">SUM(AK12:AK13)</f>
        <v>2809170600</v>
      </c>
      <c r="AL14" s="43">
        <f t="shared" si="9"/>
        <v>1</v>
      </c>
      <c r="AO14" s="44"/>
    </row>
    <row r="15" spans="2:41" x14ac:dyDescent="0.25">
      <c r="B15" s="10"/>
      <c r="C15" s="24" t="s">
        <v>34</v>
      </c>
      <c r="D15" s="25" t="s">
        <v>29</v>
      </c>
      <c r="E15" s="26">
        <f>[1]BASE_VENTA!E19</f>
        <v>5654750</v>
      </c>
      <c r="F15" s="27">
        <f>IFERROR(E15/E$8,0)</f>
        <v>0.69997524292876157</v>
      </c>
      <c r="G15" s="28">
        <f>[1]BASE_VENTA!O12+E15</f>
        <v>51706450</v>
      </c>
      <c r="H15" s="29">
        <f>IFERROR(G15/G$17,0)</f>
        <v>0.83589688873369339</v>
      </c>
      <c r="I15" s="32">
        <v>292744253</v>
      </c>
      <c r="J15" s="27">
        <v>0.86421353797555922</v>
      </c>
      <c r="K15" s="32">
        <v>266966049</v>
      </c>
      <c r="L15" s="27">
        <v>0.86543021634039807</v>
      </c>
      <c r="M15" s="30">
        <v>286308571</v>
      </c>
      <c r="N15" s="27">
        <v>0.87845014504532726</v>
      </c>
      <c r="O15" s="30">
        <v>291029800</v>
      </c>
      <c r="P15" s="27">
        <v>0.86880713650488106</v>
      </c>
      <c r="Q15" s="30">
        <v>253363300</v>
      </c>
      <c r="R15" s="31">
        <v>0.85558046576118696</v>
      </c>
      <c r="S15" s="30">
        <v>323081600</v>
      </c>
      <c r="T15" s="31">
        <v>0.85816769302036988</v>
      </c>
      <c r="U15" s="30">
        <v>310478300</v>
      </c>
      <c r="V15" s="31">
        <v>0.85074271879111008</v>
      </c>
      <c r="W15" s="30">
        <v>307815800</v>
      </c>
      <c r="X15" s="31">
        <v>0.85491375201774844</v>
      </c>
      <c r="Y15" s="32">
        <v>299373946</v>
      </c>
      <c r="Z15" s="27">
        <v>0.85491375201774844</v>
      </c>
      <c r="AA15" s="32">
        <v>256703900</v>
      </c>
      <c r="AB15" s="31">
        <v>0.84289547105714302</v>
      </c>
      <c r="AC15" s="30">
        <v>296760700</v>
      </c>
      <c r="AD15" s="31">
        <v>0.84968796030561322</v>
      </c>
      <c r="AE15" s="33">
        <f t="shared" ref="AE15:AE16" si="10">(G15)/$M$2*30</f>
        <v>258532249.99999997</v>
      </c>
      <c r="AF15" s="29">
        <f>IFERROR(AE15/AE$17,0)</f>
        <v>0.83589688873369328</v>
      </c>
      <c r="AG15" s="32">
        <v>265278944</v>
      </c>
      <c r="AH15" s="27">
        <v>0.85513118326418502</v>
      </c>
      <c r="AI15" s="30"/>
      <c r="AJ15" s="27" t="e">
        <f>AI15/AI17</f>
        <v>#DIV/0!</v>
      </c>
      <c r="AK15" s="26">
        <f t="shared" ref="AK15:AK16" si="11">(AA15+AC15+AE15)/3*12</f>
        <v>3247987400</v>
      </c>
      <c r="AL15" s="29">
        <f>IFERROR(AK15/AK$17,0)</f>
        <v>0.84311119413042812</v>
      </c>
      <c r="AO15" s="44"/>
    </row>
    <row r="16" spans="2:41" x14ac:dyDescent="0.25">
      <c r="B16" s="10"/>
      <c r="C16" s="34"/>
      <c r="D16" s="35" t="s">
        <v>30</v>
      </c>
      <c r="E16" s="33">
        <f>[1]BASE_VENTA!E20</f>
        <v>1162350</v>
      </c>
      <c r="F16" s="31">
        <f>IFERROR(E16/E$8,0)</f>
        <v>0.1438819087701925</v>
      </c>
      <c r="G16" s="36">
        <f>[1]BASE_VENTA!O13+E16</f>
        <v>10151000</v>
      </c>
      <c r="H16" s="37">
        <f>IFERROR(G16/G$17,0)</f>
        <v>0.16410311126630664</v>
      </c>
      <c r="I16" s="32">
        <v>45996394</v>
      </c>
      <c r="J16" s="31">
        <v>0.13578646202444078</v>
      </c>
      <c r="K16" s="32">
        <v>41511797</v>
      </c>
      <c r="L16" s="31">
        <v>0.13456978365960193</v>
      </c>
      <c r="M16" s="32">
        <v>39616096</v>
      </c>
      <c r="N16" s="31">
        <v>0.1215498549546727</v>
      </c>
      <c r="O16" s="32">
        <v>43946500</v>
      </c>
      <c r="P16" s="31">
        <v>0.13119286349511891</v>
      </c>
      <c r="Q16" s="32">
        <v>42767000</v>
      </c>
      <c r="R16" s="31">
        <v>0.14441953423881312</v>
      </c>
      <c r="S16" s="32">
        <v>53396800</v>
      </c>
      <c r="T16" s="31">
        <v>0.14183230697963017</v>
      </c>
      <c r="U16" s="32">
        <v>54471400</v>
      </c>
      <c r="V16" s="31">
        <v>0.14925728120888987</v>
      </c>
      <c r="W16" s="32">
        <v>52239000</v>
      </c>
      <c r="X16" s="31">
        <v>0.14508624798225159</v>
      </c>
      <c r="Y16" s="32">
        <v>50727850</v>
      </c>
      <c r="Z16" s="31">
        <v>0.14508624798225159</v>
      </c>
      <c r="AA16" s="32">
        <v>47846200</v>
      </c>
      <c r="AB16" s="31">
        <v>0.15710452894285701</v>
      </c>
      <c r="AC16" s="32">
        <v>52497750</v>
      </c>
      <c r="AD16" s="31">
        <v>0.15031203969438678</v>
      </c>
      <c r="AE16" s="33">
        <f t="shared" si="10"/>
        <v>50755000</v>
      </c>
      <c r="AF16" s="37">
        <f>IFERROR(AE16/AE$17,0)</f>
        <v>0.16410311126630664</v>
      </c>
      <c r="AG16" s="32">
        <v>41265878</v>
      </c>
      <c r="AH16" s="31">
        <v>0.14486881673581492</v>
      </c>
      <c r="AI16" s="32"/>
      <c r="AJ16" s="31" t="e">
        <f>AI16/AI17</f>
        <v>#DIV/0!</v>
      </c>
      <c r="AK16" s="33">
        <f t="shared" si="11"/>
        <v>604395800</v>
      </c>
      <c r="AL16" s="37">
        <f>IFERROR(AK16/AK$17,0)</f>
        <v>0.15688880586957185</v>
      </c>
      <c r="AO16" s="44"/>
    </row>
    <row r="17" spans="2:41" x14ac:dyDescent="0.25">
      <c r="B17" s="10"/>
      <c r="C17" s="38"/>
      <c r="D17" s="39" t="s">
        <v>31</v>
      </c>
      <c r="E17" s="40">
        <f t="shared" ref="E17:H17" si="12">SUM(E15:E16)</f>
        <v>6817100</v>
      </c>
      <c r="F17" s="41">
        <f t="shared" si="12"/>
        <v>0.84385715169895403</v>
      </c>
      <c r="G17" s="42">
        <f>[1]BASE_VENTA!O14+E17</f>
        <v>61857450</v>
      </c>
      <c r="H17" s="43">
        <f t="shared" si="12"/>
        <v>1</v>
      </c>
      <c r="I17" s="42">
        <v>338740647</v>
      </c>
      <c r="J17" s="41">
        <v>1</v>
      </c>
      <c r="K17" s="42">
        <v>308477846</v>
      </c>
      <c r="L17" s="41">
        <v>1</v>
      </c>
      <c r="M17" s="42">
        <v>325924667</v>
      </c>
      <c r="N17" s="41">
        <v>1</v>
      </c>
      <c r="O17" s="42">
        <v>334976300</v>
      </c>
      <c r="P17" s="41">
        <v>1</v>
      </c>
      <c r="Q17" s="42">
        <v>296130300</v>
      </c>
      <c r="R17" s="41">
        <v>1</v>
      </c>
      <c r="S17" s="42">
        <v>376478400</v>
      </c>
      <c r="T17" s="41">
        <v>1</v>
      </c>
      <c r="U17" s="42">
        <v>364949700</v>
      </c>
      <c r="V17" s="41">
        <v>1</v>
      </c>
      <c r="W17" s="42">
        <v>360054800</v>
      </c>
      <c r="X17" s="41">
        <v>1</v>
      </c>
      <c r="Y17" s="42">
        <v>350101796</v>
      </c>
      <c r="Z17" s="41">
        <v>1</v>
      </c>
      <c r="AA17" s="42">
        <v>304550100</v>
      </c>
      <c r="AB17" s="41">
        <v>1</v>
      </c>
      <c r="AC17" s="42">
        <v>349258450</v>
      </c>
      <c r="AD17" s="41">
        <v>1</v>
      </c>
      <c r="AE17" s="40">
        <f>SUM(AE15:AE16)</f>
        <v>309287250</v>
      </c>
      <c r="AF17" s="43">
        <f>SUM(AF15:AF16)</f>
        <v>0.99999999999999989</v>
      </c>
      <c r="AG17" s="42">
        <v>306544822</v>
      </c>
      <c r="AH17" s="41">
        <v>1</v>
      </c>
      <c r="AI17" s="42"/>
      <c r="AJ17" s="41" t="e">
        <f>SUM(AJ15:AJ16)</f>
        <v>#DIV/0!</v>
      </c>
      <c r="AK17" s="40">
        <f t="shared" ref="AK17:AL17" si="13">SUM(AK15:AK16)</f>
        <v>3852383200</v>
      </c>
      <c r="AL17" s="43">
        <f t="shared" si="13"/>
        <v>1</v>
      </c>
      <c r="AO17" s="44"/>
    </row>
    <row r="18" spans="2:41" x14ac:dyDescent="0.25">
      <c r="B18" s="10"/>
      <c r="C18" s="24" t="s">
        <v>35</v>
      </c>
      <c r="D18" s="25" t="s">
        <v>29</v>
      </c>
      <c r="E18" s="26">
        <f>[1]BASE_VENTA!E7</f>
        <v>4785400</v>
      </c>
      <c r="F18" s="27">
        <f>IFERROR(E18/E$8,0)</f>
        <v>0.59236244352293121</v>
      </c>
      <c r="G18" s="28">
        <f>[1]BASE_VENTA!O15+E18</f>
        <v>32625750</v>
      </c>
      <c r="H18" s="29">
        <f>IFERROR(G18/G$20,0)</f>
        <v>0.65199666265319067</v>
      </c>
      <c r="I18" s="30">
        <v>220560560</v>
      </c>
      <c r="J18" s="27">
        <v>0.71956603492380877</v>
      </c>
      <c r="K18" s="30">
        <v>205898487</v>
      </c>
      <c r="L18" s="27">
        <v>0.71940411727889664</v>
      </c>
      <c r="M18" s="30">
        <v>216697888</v>
      </c>
      <c r="N18" s="27">
        <v>0.73288401524949331</v>
      </c>
      <c r="O18" s="30">
        <v>214927500</v>
      </c>
      <c r="P18" s="27">
        <v>0.72332211749771325</v>
      </c>
      <c r="Q18" s="30">
        <v>190516800</v>
      </c>
      <c r="R18" s="31">
        <v>0.71563239045967719</v>
      </c>
      <c r="S18" s="30">
        <v>230648100</v>
      </c>
      <c r="T18" s="31">
        <v>0.708548859093308</v>
      </c>
      <c r="U18" s="30">
        <v>229783800</v>
      </c>
      <c r="V18" s="31">
        <v>0.6883713656866719</v>
      </c>
      <c r="W18" s="30">
        <v>238418900</v>
      </c>
      <c r="X18" s="31">
        <v>0.69962970103471844</v>
      </c>
      <c r="Y18" s="32">
        <v>185350250</v>
      </c>
      <c r="Z18" s="27">
        <v>0.69962970103471844</v>
      </c>
      <c r="AA18" s="30">
        <v>157767850</v>
      </c>
      <c r="AB18" s="31">
        <v>0.67675928390453866</v>
      </c>
      <c r="AC18" s="30">
        <v>208348200</v>
      </c>
      <c r="AD18" s="31">
        <v>0.68288965607432894</v>
      </c>
      <c r="AE18" s="33">
        <f t="shared" ref="AE18:AE19" si="14">(G18)/$M$2*30</f>
        <v>163128750</v>
      </c>
      <c r="AF18" s="29">
        <f>IFERROR(AE18/AE$20,0)</f>
        <v>0.65199666265319067</v>
      </c>
      <c r="AG18" s="32">
        <v>210082266</v>
      </c>
      <c r="AH18" s="27">
        <v>0.68638754811129776</v>
      </c>
      <c r="AI18" s="30"/>
      <c r="AJ18" s="27" t="e">
        <f>AI18/AI20</f>
        <v>#DIV/0!</v>
      </c>
      <c r="AK18" s="26">
        <f t="shared" ref="AK18:AK19" si="15">(AA18+AC18+AE18)/3*12</f>
        <v>2116979200</v>
      </c>
      <c r="AL18" s="29">
        <f>IFERROR(AK18/AK$20,0)</f>
        <v>0.67127335305888036</v>
      </c>
      <c r="AO18" s="44"/>
    </row>
    <row r="19" spans="2:41" x14ac:dyDescent="0.25">
      <c r="B19" s="10"/>
      <c r="C19" s="34"/>
      <c r="D19" s="35" t="s">
        <v>30</v>
      </c>
      <c r="E19" s="33">
        <f>[1]BASE_VENTA!E8</f>
        <v>1793850</v>
      </c>
      <c r="F19" s="31">
        <f>IFERROR(E19/E$8,0)</f>
        <v>0.22205236120566937</v>
      </c>
      <c r="G19" s="36">
        <f>[1]BASE_VENTA!O16+E19</f>
        <v>17414000</v>
      </c>
      <c r="H19" s="37">
        <f>IFERROR(G19/G$20,0)</f>
        <v>0.34800333734680927</v>
      </c>
      <c r="I19" s="32">
        <v>85958299</v>
      </c>
      <c r="J19" s="31">
        <v>0.28043396507619128</v>
      </c>
      <c r="K19" s="32">
        <v>80308098</v>
      </c>
      <c r="L19" s="31">
        <v>0.28059588272110336</v>
      </c>
      <c r="M19" s="32">
        <v>78980396</v>
      </c>
      <c r="N19" s="31">
        <v>0.26711598475050674</v>
      </c>
      <c r="O19" s="32">
        <v>82211900</v>
      </c>
      <c r="P19" s="31">
        <v>0.27667788250228681</v>
      </c>
      <c r="Q19" s="32">
        <v>75704800</v>
      </c>
      <c r="R19" s="31">
        <v>0.28436760954032281</v>
      </c>
      <c r="S19" s="32">
        <v>94873700</v>
      </c>
      <c r="T19" s="31">
        <v>0.29145114090669194</v>
      </c>
      <c r="U19" s="32">
        <v>104024100</v>
      </c>
      <c r="V19" s="31">
        <v>0.3116286343133281</v>
      </c>
      <c r="W19" s="32">
        <v>102359800</v>
      </c>
      <c r="X19" s="31">
        <v>0.30037029896528156</v>
      </c>
      <c r="Y19" s="32">
        <v>85129450</v>
      </c>
      <c r="Z19" s="31">
        <v>0.30037029896528156</v>
      </c>
      <c r="AA19" s="32">
        <v>75354700</v>
      </c>
      <c r="AB19" s="31">
        <v>0.3232407160954614</v>
      </c>
      <c r="AC19" s="32">
        <v>96749700</v>
      </c>
      <c r="AD19" s="31">
        <v>0.31711034392567106</v>
      </c>
      <c r="AE19" s="33">
        <f t="shared" si="14"/>
        <v>87070000</v>
      </c>
      <c r="AF19" s="37">
        <f>IFERROR(AE19/AE$20,0)</f>
        <v>0.34800333734680927</v>
      </c>
      <c r="AG19" s="32">
        <v>88295032</v>
      </c>
      <c r="AH19" s="31">
        <v>0.31361245188870224</v>
      </c>
      <c r="AI19" s="32"/>
      <c r="AJ19" s="31" t="e">
        <f>AI19/AI20</f>
        <v>#DIV/0!</v>
      </c>
      <c r="AK19" s="33">
        <f t="shared" si="15"/>
        <v>1036697600</v>
      </c>
      <c r="AL19" s="37">
        <f>IFERROR(AK19/AK$20,0)</f>
        <v>0.32872664694111964</v>
      </c>
      <c r="AO19" s="44"/>
    </row>
    <row r="20" spans="2:41" x14ac:dyDescent="0.25">
      <c r="B20" s="10"/>
      <c r="C20" s="38"/>
      <c r="D20" s="39" t="s">
        <v>31</v>
      </c>
      <c r="E20" s="40">
        <f t="shared" ref="E20:H20" si="16">SUM(E18:E19)</f>
        <v>6579250</v>
      </c>
      <c r="F20" s="41">
        <f t="shared" si="16"/>
        <v>0.81441480472860062</v>
      </c>
      <c r="G20" s="42">
        <f>[1]BASE_VENTA!O17+E20</f>
        <v>50039750</v>
      </c>
      <c r="H20" s="43">
        <f t="shared" si="16"/>
        <v>1</v>
      </c>
      <c r="I20" s="42">
        <v>306518859</v>
      </c>
      <c r="J20" s="41">
        <v>1</v>
      </c>
      <c r="K20" s="42">
        <v>286206585</v>
      </c>
      <c r="L20" s="41">
        <v>1</v>
      </c>
      <c r="M20" s="42">
        <v>295678284</v>
      </c>
      <c r="N20" s="41">
        <v>1</v>
      </c>
      <c r="O20" s="42">
        <v>297139400</v>
      </c>
      <c r="P20" s="41">
        <v>1</v>
      </c>
      <c r="Q20" s="42">
        <v>266221600</v>
      </c>
      <c r="R20" s="41">
        <v>1</v>
      </c>
      <c r="S20" s="42">
        <v>325521800</v>
      </c>
      <c r="T20" s="41">
        <v>1</v>
      </c>
      <c r="U20" s="42">
        <v>333807900</v>
      </c>
      <c r="V20" s="41">
        <v>1</v>
      </c>
      <c r="W20" s="42">
        <v>340778700</v>
      </c>
      <c r="X20" s="41">
        <v>1</v>
      </c>
      <c r="Y20" s="42">
        <v>270479700</v>
      </c>
      <c r="Z20" s="41">
        <v>1</v>
      </c>
      <c r="AA20" s="42">
        <v>233122550</v>
      </c>
      <c r="AB20" s="41">
        <v>1</v>
      </c>
      <c r="AC20" s="42">
        <v>305097900</v>
      </c>
      <c r="AD20" s="41">
        <v>1</v>
      </c>
      <c r="AE20" s="40">
        <f>SUM(AE18:AE19)</f>
        <v>250198750</v>
      </c>
      <c r="AF20" s="43">
        <f>SUM(AF18:AF19)</f>
        <v>1</v>
      </c>
      <c r="AG20" s="42">
        <v>298377298</v>
      </c>
      <c r="AH20" s="41">
        <v>1</v>
      </c>
      <c r="AI20" s="42"/>
      <c r="AJ20" s="41" t="e">
        <f>SUM(AJ18:AJ19)</f>
        <v>#DIV/0!</v>
      </c>
      <c r="AK20" s="40">
        <f t="shared" ref="AK20:AL20" si="17">SUM(AK18:AK19)</f>
        <v>3153676800</v>
      </c>
      <c r="AL20" s="43">
        <f t="shared" si="17"/>
        <v>1</v>
      </c>
      <c r="AO20" s="44"/>
    </row>
    <row r="21" spans="2:41" x14ac:dyDescent="0.25">
      <c r="B21" s="10"/>
      <c r="C21" s="24" t="s">
        <v>36</v>
      </c>
      <c r="D21" s="25" t="s">
        <v>29</v>
      </c>
      <c r="E21" s="26">
        <f>[1]BASE_VENTA!E10</f>
        <v>3194900</v>
      </c>
      <c r="F21" s="27">
        <f>IFERROR(E21/E$8,0)</f>
        <v>0.39548183449897878</v>
      </c>
      <c r="G21" s="28">
        <f>[1]BASE_VENTA!O18+E21</f>
        <v>43084150</v>
      </c>
      <c r="H21" s="29">
        <f>IFERROR(G21/G$23,0)</f>
        <v>0.68872104129450462</v>
      </c>
      <c r="I21" s="32">
        <v>226870267</v>
      </c>
      <c r="J21" s="27">
        <v>0.73122660964762498</v>
      </c>
      <c r="K21" s="32">
        <v>211160881</v>
      </c>
      <c r="L21" s="27">
        <v>0.72089830180914882</v>
      </c>
      <c r="M21" s="30">
        <v>221968287</v>
      </c>
      <c r="N21" s="27">
        <v>0.73365751151406955</v>
      </c>
      <c r="O21" s="30">
        <v>221994500</v>
      </c>
      <c r="P21" s="27">
        <v>0.72876533879792549</v>
      </c>
      <c r="Q21" s="30">
        <v>180358400</v>
      </c>
      <c r="R21" s="31">
        <v>0.68436130010714169</v>
      </c>
      <c r="S21" s="30">
        <v>196232000</v>
      </c>
      <c r="T21" s="31">
        <v>0.67120425259296734</v>
      </c>
      <c r="U21" s="30">
        <v>191970700</v>
      </c>
      <c r="V21" s="31">
        <v>0.65475657755615735</v>
      </c>
      <c r="W21" s="30">
        <v>206971600</v>
      </c>
      <c r="X21" s="31">
        <v>0.67889523668321716</v>
      </c>
      <c r="Y21" s="32">
        <v>210781750</v>
      </c>
      <c r="Z21" s="27">
        <v>0.67889523668321716</v>
      </c>
      <c r="AA21" s="32">
        <v>187837350</v>
      </c>
      <c r="AB21" s="31">
        <v>0.67527749896463662</v>
      </c>
      <c r="AC21" s="30">
        <v>195940150</v>
      </c>
      <c r="AD21" s="31">
        <v>0.65820453134203716</v>
      </c>
      <c r="AE21" s="33">
        <f t="shared" ref="AE21:AE22" si="18">(G21)/$M$2*30</f>
        <v>215420750</v>
      </c>
      <c r="AF21" s="29">
        <f>IFERROR(AE21/AE$23,0)</f>
        <v>0.68872104129450462</v>
      </c>
      <c r="AG21" s="32">
        <v>182646772</v>
      </c>
      <c r="AH21" s="27">
        <v>0.67675990932070529</v>
      </c>
      <c r="AI21" s="30"/>
      <c r="AJ21" s="27" t="e">
        <f>AI21/AI23</f>
        <v>#DIV/0!</v>
      </c>
      <c r="AK21" s="26">
        <f t="shared" ref="AK21:AK22" si="19">(AA21+AC21+AE21)/3*12</f>
        <v>2396793000</v>
      </c>
      <c r="AL21" s="29">
        <f>IFERROR(AK21/AK$23,0)</f>
        <v>0.6742900184755104</v>
      </c>
      <c r="AO21" s="44"/>
    </row>
    <row r="22" spans="2:41" x14ac:dyDescent="0.25">
      <c r="B22" s="10"/>
      <c r="C22" s="34"/>
      <c r="D22" s="35" t="s">
        <v>30</v>
      </c>
      <c r="E22" s="33">
        <f>[1]BASE_VENTA!E11</f>
        <v>1883400</v>
      </c>
      <c r="F22" s="31">
        <f>IFERROR(E22/E$8,0)</f>
        <v>0.23313733985269541</v>
      </c>
      <c r="G22" s="36">
        <f>[1]BASE_VENTA!O19+E22</f>
        <v>19472600</v>
      </c>
      <c r="H22" s="37">
        <f>IFERROR(G22/G$23,0)</f>
        <v>0.31127895870549543</v>
      </c>
      <c r="I22" s="32">
        <v>83389595</v>
      </c>
      <c r="J22" s="31">
        <v>0.26877339035237502</v>
      </c>
      <c r="K22" s="32">
        <v>81751895</v>
      </c>
      <c r="L22" s="31">
        <v>0.27910169819085112</v>
      </c>
      <c r="M22" s="32">
        <v>80581995</v>
      </c>
      <c r="N22" s="31">
        <v>0.2663424884859304</v>
      </c>
      <c r="O22" s="32">
        <v>82608900</v>
      </c>
      <c r="P22" s="31">
        <v>0.27123466120207457</v>
      </c>
      <c r="Q22" s="32">
        <v>83124500</v>
      </c>
      <c r="R22" s="31">
        <v>0.31563869989285831</v>
      </c>
      <c r="S22" s="32">
        <v>96126100</v>
      </c>
      <c r="T22" s="31">
        <v>0.32879574740703266</v>
      </c>
      <c r="U22" s="32">
        <v>101223300</v>
      </c>
      <c r="V22" s="31">
        <v>0.34524342244384265</v>
      </c>
      <c r="W22" s="32">
        <v>97893700</v>
      </c>
      <c r="X22" s="31">
        <v>0.32110476331678284</v>
      </c>
      <c r="Y22" s="32">
        <v>98287500</v>
      </c>
      <c r="Z22" s="31">
        <v>0.32110476331678284</v>
      </c>
      <c r="AA22" s="32">
        <v>90325850</v>
      </c>
      <c r="AB22" s="31">
        <v>0.32472250103536343</v>
      </c>
      <c r="AC22" s="32">
        <v>101748700</v>
      </c>
      <c r="AD22" s="31">
        <v>0.34179546865796284</v>
      </c>
      <c r="AE22" s="33">
        <f t="shared" si="18"/>
        <v>97363000</v>
      </c>
      <c r="AF22" s="37">
        <f>IFERROR(AE22/AE$23,0)</f>
        <v>0.31127895870549543</v>
      </c>
      <c r="AG22" s="32">
        <v>79115065</v>
      </c>
      <c r="AH22" s="31">
        <v>0.32324009067929471</v>
      </c>
      <c r="AI22" s="32"/>
      <c r="AJ22" s="31" t="e">
        <f>AI22/AI23</f>
        <v>#DIV/0!</v>
      </c>
      <c r="AK22" s="33">
        <f t="shared" si="19"/>
        <v>1157750200</v>
      </c>
      <c r="AL22" s="37">
        <f>IFERROR(AK22/AK$23,0)</f>
        <v>0.32570998152448954</v>
      </c>
      <c r="AO22" s="44"/>
    </row>
    <row r="23" spans="2:41" x14ac:dyDescent="0.25">
      <c r="B23" s="10"/>
      <c r="C23" s="38"/>
      <c r="D23" s="39" t="s">
        <v>31</v>
      </c>
      <c r="E23" s="40">
        <f t="shared" ref="E23:H23" si="20">SUM(E21:E22)</f>
        <v>5078300</v>
      </c>
      <c r="F23" s="41">
        <f t="shared" si="20"/>
        <v>0.62861917435167425</v>
      </c>
      <c r="G23" s="42">
        <f>[1]BASE_VENTA!O20+E23</f>
        <v>62556750</v>
      </c>
      <c r="H23" s="43">
        <f t="shared" si="20"/>
        <v>1</v>
      </c>
      <c r="I23" s="42">
        <v>310259862</v>
      </c>
      <c r="J23" s="41">
        <v>1</v>
      </c>
      <c r="K23" s="42">
        <v>292912776</v>
      </c>
      <c r="L23" s="41">
        <v>1</v>
      </c>
      <c r="M23" s="42">
        <v>302550282</v>
      </c>
      <c r="N23" s="41">
        <v>1</v>
      </c>
      <c r="O23" s="42">
        <v>304603400</v>
      </c>
      <c r="P23" s="41">
        <v>1</v>
      </c>
      <c r="Q23" s="42">
        <v>263482900</v>
      </c>
      <c r="R23" s="41">
        <v>1</v>
      </c>
      <c r="S23" s="42">
        <v>292358100</v>
      </c>
      <c r="T23" s="41">
        <v>1</v>
      </c>
      <c r="U23" s="42">
        <v>293194000</v>
      </c>
      <c r="V23" s="41">
        <v>1</v>
      </c>
      <c r="W23" s="42">
        <v>304865300</v>
      </c>
      <c r="X23" s="41">
        <v>1</v>
      </c>
      <c r="Y23" s="42">
        <v>309069250</v>
      </c>
      <c r="Z23" s="41">
        <v>1</v>
      </c>
      <c r="AA23" s="42">
        <v>278163200</v>
      </c>
      <c r="AB23" s="41">
        <v>1</v>
      </c>
      <c r="AC23" s="42">
        <v>297688850</v>
      </c>
      <c r="AD23" s="41">
        <v>1</v>
      </c>
      <c r="AE23" s="40">
        <f>SUM(AE21:AE22)</f>
        <v>312783750</v>
      </c>
      <c r="AF23" s="43">
        <f>SUM(AF21:AF22)</f>
        <v>1</v>
      </c>
      <c r="AG23" s="42">
        <v>261761837</v>
      </c>
      <c r="AH23" s="41">
        <v>1</v>
      </c>
      <c r="AI23" s="42"/>
      <c r="AJ23" s="41" t="e">
        <f>SUM(AJ21:AJ22)</f>
        <v>#DIV/0!</v>
      </c>
      <c r="AK23" s="40">
        <f t="shared" ref="AK23:AL23" si="21">SUM(AK21:AK22)</f>
        <v>3554543200</v>
      </c>
      <c r="AL23" s="43">
        <f t="shared" si="21"/>
        <v>1</v>
      </c>
      <c r="AO23" s="44"/>
    </row>
    <row r="24" spans="2:41" x14ac:dyDescent="0.25">
      <c r="B24" s="10"/>
      <c r="C24" s="24" t="s">
        <v>37</v>
      </c>
      <c r="D24" s="25" t="s">
        <v>29</v>
      </c>
      <c r="E24" s="26">
        <f>[1]BASE_VENTA!E28</f>
        <v>2747750</v>
      </c>
      <c r="F24" s="27">
        <f>IFERROR(E24/E$8,0)</f>
        <v>0.34013121247756389</v>
      </c>
      <c r="G24" s="28">
        <f>[1]BASE_VENTA!O21+E24</f>
        <v>38045400</v>
      </c>
      <c r="H24" s="29">
        <f>IFERROR(G24/G$26,0)</f>
        <v>0.74464058184892834</v>
      </c>
      <c r="I24" s="32">
        <v>209061381</v>
      </c>
      <c r="J24" s="27">
        <v>0.80417786992206919</v>
      </c>
      <c r="K24" s="32">
        <v>179384587</v>
      </c>
      <c r="L24" s="27">
        <v>0.80678421431267588</v>
      </c>
      <c r="M24" s="30">
        <v>199569186</v>
      </c>
      <c r="N24" s="27">
        <v>0.81113551745328505</v>
      </c>
      <c r="O24" s="30">
        <v>204528700</v>
      </c>
      <c r="P24" s="27">
        <v>0.77791022159913614</v>
      </c>
      <c r="Q24" s="30">
        <v>171869300</v>
      </c>
      <c r="R24" s="31">
        <v>0.77591366723294253</v>
      </c>
      <c r="S24" s="30">
        <v>217570400</v>
      </c>
      <c r="T24" s="31">
        <v>0.78126574369489143</v>
      </c>
      <c r="U24" s="30">
        <v>214415300</v>
      </c>
      <c r="V24" s="31">
        <v>0.7739641027566172</v>
      </c>
      <c r="W24" s="30">
        <v>222392100</v>
      </c>
      <c r="X24" s="31">
        <v>0.77626533300662015</v>
      </c>
      <c r="Y24" s="32">
        <v>210734900</v>
      </c>
      <c r="Z24" s="27">
        <v>0.77626533300662015</v>
      </c>
      <c r="AA24" s="32">
        <v>182367700</v>
      </c>
      <c r="AB24" s="31">
        <v>0.75058799270434251</v>
      </c>
      <c r="AC24" s="30">
        <v>201829500</v>
      </c>
      <c r="AD24" s="31">
        <v>0.75820326081178624</v>
      </c>
      <c r="AE24" s="33">
        <f t="shared" ref="AE24:AE25" si="22">(G24)/$M$2*30</f>
        <v>190227000</v>
      </c>
      <c r="AF24" s="29">
        <f>IFERROR(AE24/AE$26,0)</f>
        <v>0.74464058184892834</v>
      </c>
      <c r="AG24" s="32">
        <v>179307185</v>
      </c>
      <c r="AH24" s="27">
        <v>0.78260175351579908</v>
      </c>
      <c r="AI24" s="30"/>
      <c r="AJ24" s="27"/>
      <c r="AK24" s="26">
        <f t="shared" ref="AK24:AK25" si="23">(AA24+AC24+AE24)/3*12</f>
        <v>2297696800</v>
      </c>
      <c r="AL24" s="29">
        <f>IFERROR(AK24/AK$26,0)</f>
        <v>0.75125212130850472</v>
      </c>
      <c r="AO24" s="44"/>
    </row>
    <row r="25" spans="2:41" x14ac:dyDescent="0.25">
      <c r="B25" s="10"/>
      <c r="C25" s="34"/>
      <c r="D25" s="35" t="s">
        <v>30</v>
      </c>
      <c r="E25" s="33">
        <f>[1]BASE_VENTA!E29</f>
        <v>1162550</v>
      </c>
      <c r="F25" s="31">
        <f>IFERROR(E25/E$8,0)</f>
        <v>0.14390666584143097</v>
      </c>
      <c r="G25" s="36">
        <f>[1]BASE_VENTA!O22+E25</f>
        <v>13046900</v>
      </c>
      <c r="H25" s="37">
        <f>IFERROR(G25/G$26,0)</f>
        <v>0.25535941815107172</v>
      </c>
      <c r="I25" s="32">
        <v>50907699</v>
      </c>
      <c r="J25" s="31">
        <v>0.19582213007793081</v>
      </c>
      <c r="K25" s="32">
        <v>42960600</v>
      </c>
      <c r="L25" s="31">
        <v>0.19321578568732409</v>
      </c>
      <c r="M25" s="32">
        <v>46454298</v>
      </c>
      <c r="N25" s="31">
        <v>0.18886448254671492</v>
      </c>
      <c r="O25" s="32">
        <v>58392000</v>
      </c>
      <c r="P25" s="31">
        <v>0.22208977840086383</v>
      </c>
      <c r="Q25" s="32">
        <v>49636400</v>
      </c>
      <c r="R25" s="31">
        <v>0.22408633276705747</v>
      </c>
      <c r="S25" s="32">
        <v>60914100</v>
      </c>
      <c r="T25" s="31">
        <v>0.21873425630510854</v>
      </c>
      <c r="U25" s="32">
        <v>62619900</v>
      </c>
      <c r="V25" s="31">
        <v>0.2260358972433828</v>
      </c>
      <c r="W25" s="32">
        <v>64097700</v>
      </c>
      <c r="X25" s="31">
        <v>0.22373466699337988</v>
      </c>
      <c r="Y25" s="32">
        <v>63579150</v>
      </c>
      <c r="Z25" s="31">
        <v>0.22373466699337988</v>
      </c>
      <c r="AA25" s="32">
        <v>60598750</v>
      </c>
      <c r="AB25" s="31">
        <v>0.24941200729565749</v>
      </c>
      <c r="AC25" s="32">
        <v>64364950</v>
      </c>
      <c r="AD25" s="31">
        <v>0.24179673918821373</v>
      </c>
      <c r="AE25" s="33">
        <f t="shared" si="22"/>
        <v>65234500.000000007</v>
      </c>
      <c r="AF25" s="37">
        <f>IFERROR(AE25/AE$26,0)</f>
        <v>0.25535941815107172</v>
      </c>
      <c r="AG25" s="32">
        <v>47356269</v>
      </c>
      <c r="AH25" s="31">
        <v>0.21739824648420095</v>
      </c>
      <c r="AI25" s="32"/>
      <c r="AJ25" s="31"/>
      <c r="AK25" s="33">
        <f t="shared" si="23"/>
        <v>760792800</v>
      </c>
      <c r="AL25" s="37">
        <f>IFERROR(AK25/AK$26,0)</f>
        <v>0.24874787869149531</v>
      </c>
      <c r="AO25" s="44"/>
    </row>
    <row r="26" spans="2:41" x14ac:dyDescent="0.25">
      <c r="B26" s="10"/>
      <c r="C26" s="38"/>
      <c r="D26" s="39" t="s">
        <v>31</v>
      </c>
      <c r="E26" s="40">
        <f t="shared" ref="E26:H26" si="24">SUM(E24:E25)</f>
        <v>3910300</v>
      </c>
      <c r="F26" s="41">
        <f t="shared" si="24"/>
        <v>0.48403787831899486</v>
      </c>
      <c r="G26" s="42">
        <f>[1]BASE_VENTA!O23+E26</f>
        <v>51092300</v>
      </c>
      <c r="H26" s="43">
        <f t="shared" si="24"/>
        <v>1</v>
      </c>
      <c r="I26" s="42">
        <v>259969080</v>
      </c>
      <c r="J26" s="41">
        <v>1</v>
      </c>
      <c r="K26" s="42">
        <v>222345187</v>
      </c>
      <c r="L26" s="41">
        <v>1</v>
      </c>
      <c r="M26" s="42">
        <v>246023484</v>
      </c>
      <c r="N26" s="41">
        <v>1</v>
      </c>
      <c r="O26" s="42">
        <v>262920700</v>
      </c>
      <c r="P26" s="41">
        <v>1</v>
      </c>
      <c r="Q26" s="42">
        <v>221505700</v>
      </c>
      <c r="R26" s="41">
        <v>1</v>
      </c>
      <c r="S26" s="42">
        <v>278484500</v>
      </c>
      <c r="T26" s="41">
        <v>1</v>
      </c>
      <c r="U26" s="42">
        <v>277035200</v>
      </c>
      <c r="V26" s="41">
        <v>1</v>
      </c>
      <c r="W26" s="42">
        <v>286489800</v>
      </c>
      <c r="X26" s="41">
        <v>1</v>
      </c>
      <c r="Y26" s="42">
        <v>274314050</v>
      </c>
      <c r="Z26" s="41">
        <v>1</v>
      </c>
      <c r="AA26" s="42">
        <v>242966450</v>
      </c>
      <c r="AB26" s="41">
        <v>1</v>
      </c>
      <c r="AC26" s="42">
        <v>266194450</v>
      </c>
      <c r="AD26" s="41">
        <v>1</v>
      </c>
      <c r="AE26" s="40">
        <f>SUM(AE24:AE25)</f>
        <v>255461500</v>
      </c>
      <c r="AF26" s="43">
        <f>SUM(AF24:AF25)</f>
        <v>1</v>
      </c>
      <c r="AG26" s="42">
        <v>226663454</v>
      </c>
      <c r="AH26" s="41">
        <v>1</v>
      </c>
      <c r="AI26" s="42"/>
      <c r="AJ26" s="41"/>
      <c r="AK26" s="40">
        <f t="shared" ref="AK26:AL26" si="25">SUM(AK24:AK25)</f>
        <v>3058489600</v>
      </c>
      <c r="AL26" s="43">
        <f t="shared" si="25"/>
        <v>1</v>
      </c>
      <c r="AO26" s="44"/>
    </row>
    <row r="27" spans="2:41" x14ac:dyDescent="0.25">
      <c r="B27" s="10"/>
      <c r="C27" s="24" t="s">
        <v>38</v>
      </c>
      <c r="D27" s="25" t="s">
        <v>29</v>
      </c>
      <c r="E27" s="26">
        <f>[1]BASE_VENTA!E25</f>
        <v>2828350</v>
      </c>
      <c r="F27" s="27">
        <f>IFERROR(E27/E$8,0)</f>
        <v>0.35010831218666832</v>
      </c>
      <c r="G27" s="28">
        <f>[1]BASE_VENTA!O24+E27</f>
        <v>21908700</v>
      </c>
      <c r="H27" s="29">
        <f>IFERROR(G27/G$29,0)</f>
        <v>0.47488189565200428</v>
      </c>
      <c r="I27" s="30">
        <v>118099500</v>
      </c>
      <c r="J27" s="27">
        <v>0.48734547642466181</v>
      </c>
      <c r="K27" s="30">
        <v>104616200</v>
      </c>
      <c r="L27" s="27">
        <v>0.46556219660703463</v>
      </c>
      <c r="M27" s="30">
        <v>109713600</v>
      </c>
      <c r="N27" s="27">
        <v>0.48596632144641544</v>
      </c>
      <c r="O27" s="30">
        <v>109612300</v>
      </c>
      <c r="P27" s="27">
        <v>0.45835424322478852</v>
      </c>
      <c r="Q27" s="30">
        <v>101835900</v>
      </c>
      <c r="R27" s="31">
        <v>0.47339993305937261</v>
      </c>
      <c r="S27" s="30">
        <v>120240100</v>
      </c>
      <c r="T27" s="31">
        <v>0.48087788135555937</v>
      </c>
      <c r="U27" s="30">
        <v>117490800</v>
      </c>
      <c r="V27" s="31">
        <v>0.47452605271246195</v>
      </c>
      <c r="W27" s="30">
        <v>121411800</v>
      </c>
      <c r="X27" s="31">
        <v>0.49713743818119432</v>
      </c>
      <c r="Y27" s="30">
        <v>119720900</v>
      </c>
      <c r="Z27" s="27">
        <v>0.49713743818119432</v>
      </c>
      <c r="AA27" s="30">
        <v>96133450</v>
      </c>
      <c r="AB27" s="31">
        <v>0.47001023786661245</v>
      </c>
      <c r="AC27" s="30">
        <v>117927300</v>
      </c>
      <c r="AD27" s="31">
        <v>0.4899673430722441</v>
      </c>
      <c r="AE27" s="33">
        <f t="shared" ref="AE27:AE28" si="26">(G27)/$M$2*30</f>
        <v>109543500</v>
      </c>
      <c r="AF27" s="29">
        <f>IFERROR(AE27/AE$29,0)</f>
        <v>0.47488189565200428</v>
      </c>
      <c r="AG27" s="30">
        <v>111517897</v>
      </c>
      <c r="AH27" s="27">
        <v>0.47432423318218669</v>
      </c>
      <c r="AI27" s="30"/>
      <c r="AJ27" s="27" t="e">
        <f>AI27/AI29</f>
        <v>#DIV/0!</v>
      </c>
      <c r="AK27" s="26">
        <f t="shared" ref="AK27:AK28" si="27">(AA27+AC27+AE27)/3*12</f>
        <v>1294417000</v>
      </c>
      <c r="AL27" s="29">
        <f>IFERROR(AK27/AK$29,0)</f>
        <v>0.47877955132169014</v>
      </c>
      <c r="AO27" s="44"/>
    </row>
    <row r="28" spans="2:41" x14ac:dyDescent="0.25">
      <c r="B28" s="10"/>
      <c r="C28" s="34"/>
      <c r="D28" s="35" t="s">
        <v>30</v>
      </c>
      <c r="E28" s="33">
        <f>[1]BASE_VENTA!E26</f>
        <v>2942650</v>
      </c>
      <c r="F28" s="31">
        <f>IFERROR(E28/E$8,0)</f>
        <v>0.36425697839945537</v>
      </c>
      <c r="G28" s="36">
        <f>[1]BASE_VENTA!O25+E28</f>
        <v>24226350</v>
      </c>
      <c r="H28" s="37">
        <f>IFERROR(G28/G$29,0)</f>
        <v>0.52511810434799577</v>
      </c>
      <c r="I28" s="32">
        <v>124232697</v>
      </c>
      <c r="J28" s="31">
        <v>0.51265452357533825</v>
      </c>
      <c r="K28" s="32">
        <v>120093196</v>
      </c>
      <c r="L28" s="31">
        <v>0.53443780339296543</v>
      </c>
      <c r="M28" s="32">
        <v>116050193</v>
      </c>
      <c r="N28" s="31">
        <v>0.51403367855358451</v>
      </c>
      <c r="O28" s="32">
        <v>129530899</v>
      </c>
      <c r="P28" s="31">
        <v>0.54164575677521154</v>
      </c>
      <c r="Q28" s="32">
        <v>113280100</v>
      </c>
      <c r="R28" s="31">
        <v>0.52660006694062733</v>
      </c>
      <c r="S28" s="32">
        <v>129802800</v>
      </c>
      <c r="T28" s="31">
        <v>0.51912211864444058</v>
      </c>
      <c r="U28" s="32">
        <v>130105299.99999999</v>
      </c>
      <c r="V28" s="31">
        <v>0.52547394728753805</v>
      </c>
      <c r="W28" s="32">
        <v>122810000</v>
      </c>
      <c r="X28" s="31">
        <v>0.50286256181880573</v>
      </c>
      <c r="Y28" s="32">
        <v>117709700</v>
      </c>
      <c r="Z28" s="31">
        <v>0.50286256181880573</v>
      </c>
      <c r="AA28" s="32">
        <v>108401350</v>
      </c>
      <c r="AB28" s="31">
        <v>0.52998976213338755</v>
      </c>
      <c r="AC28" s="32">
        <v>122756700</v>
      </c>
      <c r="AD28" s="31">
        <v>0.5100326569277559</v>
      </c>
      <c r="AE28" s="33">
        <f t="shared" si="26"/>
        <v>121131750</v>
      </c>
      <c r="AF28" s="37">
        <f>IFERROR(AE28/AE$29,0)</f>
        <v>0.52511810434799577</v>
      </c>
      <c r="AG28" s="32">
        <v>119197508</v>
      </c>
      <c r="AH28" s="31">
        <v>0.52567576681781336</v>
      </c>
      <c r="AI28" s="32"/>
      <c r="AJ28" s="31" t="e">
        <f>AI28/AI29</f>
        <v>#DIV/0!</v>
      </c>
      <c r="AK28" s="33">
        <f t="shared" si="27"/>
        <v>1409159200</v>
      </c>
      <c r="AL28" s="37">
        <f>IFERROR(AK28/AK$29,0)</f>
        <v>0.52122044867830986</v>
      </c>
      <c r="AO28" s="44"/>
    </row>
    <row r="29" spans="2:41" x14ac:dyDescent="0.25">
      <c r="B29" s="10"/>
      <c r="C29" s="38"/>
      <c r="D29" s="39" t="s">
        <v>31</v>
      </c>
      <c r="E29" s="40">
        <f t="shared" ref="E29:H29" si="28">SUM(E27:E28)</f>
        <v>5771000</v>
      </c>
      <c r="F29" s="41">
        <f t="shared" si="28"/>
        <v>0.71436529058612375</v>
      </c>
      <c r="G29" s="42">
        <f>[1]BASE_VENTA!O26+E29</f>
        <v>46135050</v>
      </c>
      <c r="H29" s="43">
        <f t="shared" si="28"/>
        <v>1</v>
      </c>
      <c r="I29" s="42">
        <v>242332197</v>
      </c>
      <c r="J29" s="41">
        <v>1</v>
      </c>
      <c r="K29" s="42">
        <v>224709396</v>
      </c>
      <c r="L29" s="41">
        <v>1</v>
      </c>
      <c r="M29" s="42">
        <v>225763793</v>
      </c>
      <c r="N29" s="41">
        <v>1</v>
      </c>
      <c r="O29" s="42">
        <v>239143199</v>
      </c>
      <c r="P29" s="41">
        <v>1</v>
      </c>
      <c r="Q29" s="42">
        <v>215116000</v>
      </c>
      <c r="R29" s="41">
        <v>1</v>
      </c>
      <c r="S29" s="42">
        <v>250042900</v>
      </c>
      <c r="T29" s="41">
        <v>1</v>
      </c>
      <c r="U29" s="42">
        <v>247596100</v>
      </c>
      <c r="V29" s="41">
        <v>1</v>
      </c>
      <c r="W29" s="42">
        <v>244221800</v>
      </c>
      <c r="X29" s="41">
        <v>1</v>
      </c>
      <c r="Y29" s="42">
        <v>237430600</v>
      </c>
      <c r="Z29" s="41">
        <v>1</v>
      </c>
      <c r="AA29" s="42">
        <v>204534800</v>
      </c>
      <c r="AB29" s="41">
        <v>1</v>
      </c>
      <c r="AC29" s="42">
        <v>240684000</v>
      </c>
      <c r="AD29" s="41">
        <v>1</v>
      </c>
      <c r="AE29" s="40">
        <f>SUM(AE27:AE28)</f>
        <v>230675250</v>
      </c>
      <c r="AF29" s="43">
        <f>SUM(AF27:AF28)</f>
        <v>1</v>
      </c>
      <c r="AG29" s="42">
        <v>230715405</v>
      </c>
      <c r="AH29" s="41">
        <v>1</v>
      </c>
      <c r="AI29" s="42"/>
      <c r="AJ29" s="41" t="e">
        <f>SUM(AJ27:AJ28)</f>
        <v>#DIV/0!</v>
      </c>
      <c r="AK29" s="40">
        <f t="shared" ref="AK29:AL29" si="29">SUM(AK27:AK28)</f>
        <v>2703576200</v>
      </c>
      <c r="AL29" s="43">
        <f t="shared" si="29"/>
        <v>1</v>
      </c>
      <c r="AO29" s="44"/>
    </row>
    <row r="30" spans="2:41" x14ac:dyDescent="0.25">
      <c r="B30" s="10"/>
      <c r="C30" s="24" t="s">
        <v>39</v>
      </c>
      <c r="D30" s="25" t="s">
        <v>29</v>
      </c>
      <c r="E30" s="26">
        <f>[1]BASE_VENTA!E22</f>
        <v>5069400</v>
      </c>
      <c r="F30" s="27">
        <f>IFERROR(E30/E$8,0)</f>
        <v>0.62751748468156221</v>
      </c>
      <c r="G30" s="28">
        <f>[1]BASE_VENTA!O27+E30</f>
        <v>34193200</v>
      </c>
      <c r="H30" s="29">
        <f>IFERROR(G30/G$32,0)</f>
        <v>0.66948939323779133</v>
      </c>
      <c r="I30" s="32">
        <v>150324982</v>
      </c>
      <c r="J30" s="27">
        <v>0.69241070472190436</v>
      </c>
      <c r="K30" s="32">
        <v>135286191</v>
      </c>
      <c r="L30" s="27">
        <v>0.6939501855299528</v>
      </c>
      <c r="M30" s="30">
        <v>157008789</v>
      </c>
      <c r="N30" s="27">
        <v>0.73101970931618399</v>
      </c>
      <c r="O30" s="30">
        <v>166175500</v>
      </c>
      <c r="P30" s="27">
        <v>0.71900520187572292</v>
      </c>
      <c r="Q30" s="30">
        <v>142749500</v>
      </c>
      <c r="R30" s="31">
        <v>0.68091058694459683</v>
      </c>
      <c r="S30" s="30">
        <v>178705200</v>
      </c>
      <c r="T30" s="31">
        <v>0.69388381618191242</v>
      </c>
      <c r="U30" s="30">
        <v>183584500</v>
      </c>
      <c r="V30" s="31">
        <v>0.70754197049347123</v>
      </c>
      <c r="W30" s="30">
        <v>185871200</v>
      </c>
      <c r="X30" s="31">
        <v>0.70307008186985853</v>
      </c>
      <c r="Y30" s="32">
        <v>161867550</v>
      </c>
      <c r="Z30" s="27">
        <v>0.70307008186985853</v>
      </c>
      <c r="AA30" s="32">
        <v>139826800</v>
      </c>
      <c r="AB30" s="31">
        <v>0.65953082291123744</v>
      </c>
      <c r="AC30" s="30">
        <v>170948400</v>
      </c>
      <c r="AD30" s="31">
        <v>0.65485315082315176</v>
      </c>
      <c r="AE30" s="33">
        <f t="shared" ref="AE30:AE31" si="30">(G30)/$M$2*30</f>
        <v>170966000</v>
      </c>
      <c r="AF30" s="29">
        <f>IFERROR(AE30/AE$32,0)</f>
        <v>0.66948939323779133</v>
      </c>
      <c r="AG30" s="32">
        <v>153552790</v>
      </c>
      <c r="AH30" s="27">
        <v>0.72058473387498267</v>
      </c>
      <c r="AI30" s="30"/>
      <c r="AJ30" s="27"/>
      <c r="AK30" s="26">
        <f t="shared" ref="AK30:AK31" si="31">(AA30+AC30+AE30)/3*12</f>
        <v>1926964800</v>
      </c>
      <c r="AL30" s="29">
        <f>IFERROR(AK30/AK$32,0)</f>
        <v>0.66134569387104269</v>
      </c>
      <c r="AO30" s="44"/>
    </row>
    <row r="31" spans="2:41" x14ac:dyDescent="0.25">
      <c r="B31" s="10"/>
      <c r="C31" s="34"/>
      <c r="D31" s="35" t="s">
        <v>30</v>
      </c>
      <c r="E31" s="33">
        <f>[1]BASE_VENTA!E23</f>
        <v>3060100</v>
      </c>
      <c r="F31" s="31">
        <f>IFERROR(E31/E$8,0)</f>
        <v>0.37879556848424834</v>
      </c>
      <c r="G31" s="36">
        <f>[1]BASE_VENTA!O28+E31</f>
        <v>16880350</v>
      </c>
      <c r="H31" s="37">
        <f>IFERROR(G31/G$32,0)</f>
        <v>0.33051060676220861</v>
      </c>
      <c r="I31" s="32">
        <v>66778799</v>
      </c>
      <c r="J31" s="31">
        <v>0.30758929527809559</v>
      </c>
      <c r="K31" s="32">
        <v>59663398</v>
      </c>
      <c r="L31" s="31">
        <v>0.30604981447004725</v>
      </c>
      <c r="M31" s="32">
        <v>57632194</v>
      </c>
      <c r="N31" s="31">
        <v>0.26898029068381596</v>
      </c>
      <c r="O31" s="32">
        <v>64818100</v>
      </c>
      <c r="P31" s="31">
        <v>0.28099479812427702</v>
      </c>
      <c r="Q31" s="32">
        <v>66895500</v>
      </c>
      <c r="R31" s="31">
        <v>0.31908941305540323</v>
      </c>
      <c r="S31" s="32">
        <v>78838204</v>
      </c>
      <c r="T31" s="31">
        <v>0.30611618381808758</v>
      </c>
      <c r="U31" s="32">
        <v>75883500</v>
      </c>
      <c r="V31" s="31">
        <v>0.29245802950652872</v>
      </c>
      <c r="W31" s="32">
        <v>78499600</v>
      </c>
      <c r="X31" s="31">
        <v>0.29692991813014147</v>
      </c>
      <c r="Y31" s="32">
        <v>79772354</v>
      </c>
      <c r="Z31" s="31">
        <v>0.29692991813014147</v>
      </c>
      <c r="AA31" s="32">
        <v>72182700</v>
      </c>
      <c r="AB31" s="31">
        <v>0.34046917708876251</v>
      </c>
      <c r="AC31" s="32">
        <v>90100050</v>
      </c>
      <c r="AD31" s="31">
        <v>0.34514684917684818</v>
      </c>
      <c r="AE31" s="33">
        <f t="shared" si="30"/>
        <v>84401750</v>
      </c>
      <c r="AF31" s="37">
        <f>IFERROR(AE31/AE$32,0)</f>
        <v>0.33051060676220861</v>
      </c>
      <c r="AG31" s="32">
        <v>58674750</v>
      </c>
      <c r="AH31" s="31">
        <v>0.27941526612501733</v>
      </c>
      <c r="AI31" s="32"/>
      <c r="AJ31" s="31"/>
      <c r="AK31" s="33">
        <f t="shared" si="31"/>
        <v>986738000</v>
      </c>
      <c r="AL31" s="37">
        <f>IFERROR(AK31/AK$32,0)</f>
        <v>0.33865430612895731</v>
      </c>
      <c r="AO31" s="44"/>
    </row>
    <row r="32" spans="2:41" x14ac:dyDescent="0.25">
      <c r="B32" s="10"/>
      <c r="C32" s="38"/>
      <c r="D32" s="39" t="s">
        <v>31</v>
      </c>
      <c r="E32" s="40">
        <f t="shared" ref="E32:H32" si="32">SUM(E30:E31)</f>
        <v>8129500</v>
      </c>
      <c r="F32" s="41">
        <f t="shared" si="32"/>
        <v>1.0063130531658104</v>
      </c>
      <c r="G32" s="42">
        <f>[1]BASE_VENTA!O29+E32</f>
        <v>51073550</v>
      </c>
      <c r="H32" s="43">
        <f t="shared" si="32"/>
        <v>1</v>
      </c>
      <c r="I32" s="42">
        <v>217103781</v>
      </c>
      <c r="J32" s="41">
        <v>1</v>
      </c>
      <c r="K32" s="42">
        <v>194949589</v>
      </c>
      <c r="L32" s="41">
        <v>1</v>
      </c>
      <c r="M32" s="42">
        <v>214640983</v>
      </c>
      <c r="N32" s="41">
        <v>1</v>
      </c>
      <c r="O32" s="42">
        <v>230993600</v>
      </c>
      <c r="P32" s="41">
        <v>1</v>
      </c>
      <c r="Q32" s="42">
        <v>209645000</v>
      </c>
      <c r="R32" s="41">
        <v>1</v>
      </c>
      <c r="S32" s="42">
        <v>257543404</v>
      </c>
      <c r="T32" s="41">
        <v>1</v>
      </c>
      <c r="U32" s="42">
        <v>259468000</v>
      </c>
      <c r="V32" s="41">
        <v>1</v>
      </c>
      <c r="W32" s="42">
        <v>264370800</v>
      </c>
      <c r="X32" s="41">
        <v>1</v>
      </c>
      <c r="Y32" s="42">
        <v>241639904</v>
      </c>
      <c r="Z32" s="41">
        <v>1</v>
      </c>
      <c r="AA32" s="42">
        <v>212009500</v>
      </c>
      <c r="AB32" s="41">
        <v>1</v>
      </c>
      <c r="AC32" s="42">
        <v>261048450</v>
      </c>
      <c r="AD32" s="41">
        <v>1</v>
      </c>
      <c r="AE32" s="40">
        <f>SUM(AE30:AE31)</f>
        <v>255367750</v>
      </c>
      <c r="AF32" s="43">
        <f>SUM(AF30:AF31)</f>
        <v>1</v>
      </c>
      <c r="AG32" s="42">
        <v>212227540</v>
      </c>
      <c r="AH32" s="41">
        <v>1</v>
      </c>
      <c r="AI32" s="42"/>
      <c r="AJ32" s="41"/>
      <c r="AK32" s="40">
        <f t="shared" ref="AK32:AL32" si="33">SUM(AK30:AK31)</f>
        <v>2913702800</v>
      </c>
      <c r="AL32" s="43">
        <f t="shared" si="33"/>
        <v>1</v>
      </c>
      <c r="AO32" s="44"/>
    </row>
    <row r="33" spans="2:41" x14ac:dyDescent="0.25">
      <c r="B33" s="10"/>
      <c r="C33" s="45" t="s">
        <v>40</v>
      </c>
      <c r="D33" s="25" t="s">
        <v>29</v>
      </c>
      <c r="E33" s="26">
        <f>[1]BASE_VENTA!E16</f>
        <v>4951550</v>
      </c>
      <c r="F33" s="27">
        <f>IFERROR(E33/E$8,0)</f>
        <v>0.61292938045429224</v>
      </c>
      <c r="G33" s="28">
        <f>[1]BASE_VENTA!O30+E33</f>
        <v>50279150</v>
      </c>
      <c r="H33" s="29">
        <f>IFERROR(G33/G$35,0)</f>
        <v>0.85423698001394865</v>
      </c>
      <c r="I33" s="32">
        <v>107693100</v>
      </c>
      <c r="J33" s="27">
        <v>0.8196202411223048</v>
      </c>
      <c r="K33" s="32">
        <v>225895997</v>
      </c>
      <c r="L33" s="27">
        <v>0.90118073004328936</v>
      </c>
      <c r="M33" s="30">
        <v>261641797</v>
      </c>
      <c r="N33" s="27">
        <v>0.90731157091451231</v>
      </c>
      <c r="O33" s="30">
        <v>291746200</v>
      </c>
      <c r="P33" s="27">
        <v>0.89272885717507489</v>
      </c>
      <c r="Q33" s="30">
        <v>218358300</v>
      </c>
      <c r="R33" s="31">
        <v>0.87247417638531721</v>
      </c>
      <c r="S33" s="30">
        <v>270568700</v>
      </c>
      <c r="T33" s="31">
        <v>0.88047803838300021</v>
      </c>
      <c r="U33" s="30">
        <v>252223199.99999997</v>
      </c>
      <c r="V33" s="31">
        <v>0.8669394421850638</v>
      </c>
      <c r="W33" s="30">
        <v>269824800</v>
      </c>
      <c r="X33" s="31">
        <v>0.8744045327453519</v>
      </c>
      <c r="Y33" s="30">
        <v>226759050</v>
      </c>
      <c r="Z33" s="27">
        <v>0.8744045327453519</v>
      </c>
      <c r="AA33" s="32">
        <v>174950250</v>
      </c>
      <c r="AB33" s="31">
        <v>0.81700397900683375</v>
      </c>
      <c r="AC33" s="30">
        <v>270103650</v>
      </c>
      <c r="AD33" s="31">
        <v>0.8578757872357049</v>
      </c>
      <c r="AE33" s="33">
        <f t="shared" ref="AE33:AE34" si="34">(G33)/$M$2*30</f>
        <v>251395750</v>
      </c>
      <c r="AF33" s="29">
        <f>IFERROR(AE33/AE$35,0)</f>
        <v>0.85423698001394865</v>
      </c>
      <c r="AG33" s="30">
        <v>0</v>
      </c>
      <c r="AH33" s="27">
        <v>0</v>
      </c>
      <c r="AI33" s="30"/>
      <c r="AJ33" s="27"/>
      <c r="AK33" s="26">
        <f t="shared" ref="AK33:AK34" si="35">(AA33+AC33+AE33)/3*12</f>
        <v>2785798600</v>
      </c>
      <c r="AL33" s="29">
        <f>IFERROR(AK33/AK$35,0)</f>
        <v>0.84594423919518102</v>
      </c>
      <c r="AO33" s="44"/>
    </row>
    <row r="34" spans="2:41" x14ac:dyDescent="0.25">
      <c r="B34" s="10"/>
      <c r="C34" s="46"/>
      <c r="D34" s="35" t="s">
        <v>30</v>
      </c>
      <c r="E34" s="33">
        <f>[1]BASE_VENTA!E17</f>
        <v>961550</v>
      </c>
      <c r="F34" s="31">
        <f>IFERROR(E34/E$8,0)</f>
        <v>0.1190258092467661</v>
      </c>
      <c r="G34" s="36">
        <f>[1]BASE_VENTA!O31+E34</f>
        <v>8579400</v>
      </c>
      <c r="H34" s="37">
        <f>IFERROR(G34/G$35,0)</f>
        <v>0.14576301998605132</v>
      </c>
      <c r="I34" s="32">
        <v>23700800</v>
      </c>
      <c r="J34" s="31">
        <v>0.18037975887769522</v>
      </c>
      <c r="K34" s="32">
        <v>24770700</v>
      </c>
      <c r="L34" s="31">
        <v>9.8819269956710684E-2</v>
      </c>
      <c r="M34" s="32">
        <v>26728599</v>
      </c>
      <c r="N34" s="31">
        <v>9.2688429085487675E-2</v>
      </c>
      <c r="O34" s="32">
        <v>35056499</v>
      </c>
      <c r="P34" s="31">
        <v>0.10727114282492507</v>
      </c>
      <c r="Q34" s="32">
        <v>31916500</v>
      </c>
      <c r="R34" s="31">
        <v>0.12752582361468273</v>
      </c>
      <c r="S34" s="32">
        <v>36728800</v>
      </c>
      <c r="T34" s="31">
        <v>0.11952196161699981</v>
      </c>
      <c r="U34" s="32">
        <v>38712000</v>
      </c>
      <c r="V34" s="31">
        <v>0.13306055781493611</v>
      </c>
      <c r="W34" s="32">
        <v>38756400</v>
      </c>
      <c r="X34" s="31">
        <v>0.12559546725464804</v>
      </c>
      <c r="Y34" s="32">
        <v>39014754</v>
      </c>
      <c r="Z34" s="31">
        <v>0.12559546725464804</v>
      </c>
      <c r="AA34" s="32">
        <v>39186100</v>
      </c>
      <c r="AB34" s="31">
        <v>0.18299602099316628</v>
      </c>
      <c r="AC34" s="32">
        <v>44748050</v>
      </c>
      <c r="AD34" s="31">
        <v>0.14212421276429507</v>
      </c>
      <c r="AE34" s="33">
        <f t="shared" si="34"/>
        <v>42897000</v>
      </c>
      <c r="AF34" s="37">
        <f>IFERROR(AE34/AE$35,0)</f>
        <v>0.14576301998605132</v>
      </c>
      <c r="AG34" s="32">
        <v>3390900</v>
      </c>
      <c r="AH34" s="31">
        <v>0</v>
      </c>
      <c r="AI34" s="32"/>
      <c r="AJ34" s="31"/>
      <c r="AK34" s="33">
        <f t="shared" si="35"/>
        <v>507324600</v>
      </c>
      <c r="AL34" s="37">
        <f>IFERROR(AK34/AK$35,0)</f>
        <v>0.15405576080481898</v>
      </c>
      <c r="AO34" s="44"/>
    </row>
    <row r="35" spans="2:41" ht="15.75" thickBot="1" x14ac:dyDescent="0.3">
      <c r="B35" s="10"/>
      <c r="C35" s="47"/>
      <c r="D35" s="39" t="s">
        <v>31</v>
      </c>
      <c r="E35" s="48">
        <f t="shared" ref="E35:H35" si="36">SUM(E33:E34)</f>
        <v>5913100</v>
      </c>
      <c r="F35" s="49">
        <f t="shared" si="36"/>
        <v>0.73195518970105833</v>
      </c>
      <c r="G35" s="50">
        <f>[1]BASE_VENTA!O32+E35</f>
        <v>58858550</v>
      </c>
      <c r="H35" s="51">
        <f t="shared" si="36"/>
        <v>1</v>
      </c>
      <c r="I35" s="50">
        <v>131393900</v>
      </c>
      <c r="J35" s="49">
        <v>1</v>
      </c>
      <c r="K35" s="50">
        <v>250666697</v>
      </c>
      <c r="L35" s="49">
        <v>1</v>
      </c>
      <c r="M35" s="50">
        <v>288370396</v>
      </c>
      <c r="N35" s="49">
        <v>1</v>
      </c>
      <c r="O35" s="50">
        <v>326802699</v>
      </c>
      <c r="P35" s="49">
        <v>1</v>
      </c>
      <c r="Q35" s="50">
        <v>250274800</v>
      </c>
      <c r="R35" s="49">
        <v>1</v>
      </c>
      <c r="S35" s="50">
        <v>307297500</v>
      </c>
      <c r="T35" s="49">
        <v>1</v>
      </c>
      <c r="U35" s="50">
        <v>290935200</v>
      </c>
      <c r="V35" s="49">
        <v>0.99999999999999989</v>
      </c>
      <c r="W35" s="50">
        <v>308581200</v>
      </c>
      <c r="X35" s="49">
        <v>1</v>
      </c>
      <c r="Y35" s="50">
        <v>265773804</v>
      </c>
      <c r="Z35" s="49">
        <v>1</v>
      </c>
      <c r="AA35" s="50">
        <v>214136350</v>
      </c>
      <c r="AB35" s="49">
        <v>1</v>
      </c>
      <c r="AC35" s="50">
        <v>314851700</v>
      </c>
      <c r="AD35" s="49">
        <v>1</v>
      </c>
      <c r="AE35" s="48">
        <f>SUM(AE33:AE34)</f>
        <v>294292750</v>
      </c>
      <c r="AF35" s="51">
        <f>SUM(AF33:AF34)</f>
        <v>1</v>
      </c>
      <c r="AG35" s="50">
        <v>3390900</v>
      </c>
      <c r="AH35" s="49">
        <v>0</v>
      </c>
      <c r="AI35" s="42">
        <f>SUM(AI33:AI34)</f>
        <v>0</v>
      </c>
      <c r="AJ35" s="41"/>
      <c r="AK35" s="48">
        <f t="shared" ref="AK35:AL35" si="37">SUM(AK33:AK34)</f>
        <v>3293123200</v>
      </c>
      <c r="AL35" s="51">
        <f t="shared" si="37"/>
        <v>1</v>
      </c>
      <c r="AO35" s="44"/>
    </row>
    <row r="36" spans="2:41" ht="15.75" thickBot="1" x14ac:dyDescent="0.3">
      <c r="B36" s="10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32"/>
      <c r="P36" s="52"/>
      <c r="Q36" s="32"/>
      <c r="R36" s="52"/>
      <c r="S36" s="32"/>
      <c r="T36" s="52"/>
      <c r="U36" s="32"/>
      <c r="V36" s="52"/>
      <c r="W36" s="52"/>
      <c r="X36" s="52"/>
      <c r="Y36" s="52"/>
      <c r="Z36" s="52"/>
      <c r="AA36" s="52"/>
      <c r="AB36" s="52"/>
      <c r="AC36" s="32"/>
      <c r="AD36" s="52"/>
      <c r="AE36" s="53"/>
      <c r="AF36" s="54"/>
      <c r="AG36" s="52"/>
      <c r="AH36" s="52"/>
      <c r="AK36" s="52"/>
      <c r="AL36" s="52"/>
      <c r="AO36" s="16"/>
    </row>
    <row r="37" spans="2:41" x14ac:dyDescent="0.25">
      <c r="B37" s="10"/>
      <c r="C37" s="24" t="s">
        <v>41</v>
      </c>
      <c r="D37" s="25" t="s">
        <v>29</v>
      </c>
      <c r="E37" s="55">
        <f>+E27+E6+E18+E9+E12+E15+E21+E24+E30+E33</f>
        <v>40174650</v>
      </c>
      <c r="F37" s="56">
        <f>+E37/E$42</f>
        <v>0.70248972922216613</v>
      </c>
      <c r="G37" s="57">
        <f>+G27+G6+G18+G9+G12+G15+G21+G24+G30+G33</f>
        <v>369034650</v>
      </c>
      <c r="H37" s="58">
        <f>+G37/G$42</f>
        <v>0.71454546299457056</v>
      </c>
      <c r="I37" s="59">
        <v>2199963175</v>
      </c>
      <c r="J37" s="56">
        <v>0.74359462688686451</v>
      </c>
      <c r="K37" s="59">
        <v>2151979656</v>
      </c>
      <c r="L37" s="56">
        <v>0.75286572195109924</v>
      </c>
      <c r="M37" s="59">
        <v>2342696073</v>
      </c>
      <c r="N37" s="56">
        <v>0.77048166840742582</v>
      </c>
      <c r="O37" s="59">
        <v>2395197100</v>
      </c>
      <c r="P37" s="56">
        <v>0.75850986018901134</v>
      </c>
      <c r="Q37" s="59">
        <v>2034689000</v>
      </c>
      <c r="R37" s="56">
        <v>0.74314702754191475</v>
      </c>
      <c r="S37" s="59">
        <v>2480299300</v>
      </c>
      <c r="T37" s="56">
        <v>0.74734327330921235</v>
      </c>
      <c r="U37" s="59">
        <v>2433466400</v>
      </c>
      <c r="V37" s="56">
        <v>0.73832419059846532</v>
      </c>
      <c r="W37" s="59">
        <v>2517033700</v>
      </c>
      <c r="X37" s="56">
        <v>0.73832419059846532</v>
      </c>
      <c r="Y37" s="59">
        <v>2287131593</v>
      </c>
      <c r="Z37" s="56">
        <v>0.73832419059846532</v>
      </c>
      <c r="AA37" s="59">
        <v>1942142850</v>
      </c>
      <c r="AB37" s="56">
        <v>0.72717308275139581</v>
      </c>
      <c r="AC37" s="59">
        <v>2355643000</v>
      </c>
      <c r="AD37" s="56">
        <v>0.73351510096959638</v>
      </c>
      <c r="AE37" s="55">
        <f t="shared" ref="AE37:AE41" si="38">(G37)/$M$2*30</f>
        <v>1845173250</v>
      </c>
      <c r="AF37" s="58">
        <f>IFERROR(AE37/AE$42,0)</f>
        <v>0.71454546299457056</v>
      </c>
      <c r="AG37" s="59">
        <v>1918047983</v>
      </c>
      <c r="AH37" s="56">
        <v>0.7226972140237562</v>
      </c>
      <c r="AI37" s="60">
        <f>+AI27+AI6+AI18+AI9+AI12+AI15+AI21+AI24+AI30+AI33</f>
        <v>0</v>
      </c>
      <c r="AJ37" s="27" t="e">
        <f>+AI37/AI$42</f>
        <v>#DIV/0!</v>
      </c>
      <c r="AK37" s="55">
        <f t="shared" ref="AK37:AK41" si="39">(AA37+AC37+AE37)/3*12</f>
        <v>24571836400</v>
      </c>
      <c r="AL37" s="58">
        <f>+AK37/AK$42</f>
        <v>0.72572689924602463</v>
      </c>
      <c r="AO37" s="16"/>
    </row>
    <row r="38" spans="2:41" x14ac:dyDescent="0.25">
      <c r="B38" s="10"/>
      <c r="C38" s="34"/>
      <c r="D38" s="35" t="s">
        <v>30</v>
      </c>
      <c r="E38" s="33">
        <f>+E28+E7+E19+E10+E13+E16+E22+E25+E31+E34</f>
        <v>17014300</v>
      </c>
      <c r="F38" s="31">
        <f>+E38/E$42</f>
        <v>0.29751027077783382</v>
      </c>
      <c r="G38" s="61">
        <f>+G28+G7+G19+G10+G13+G16+G22+G25+G31+G34</f>
        <v>147426050</v>
      </c>
      <c r="H38" s="37">
        <f>+G38/G$42</f>
        <v>0.28545453700542944</v>
      </c>
      <c r="I38" s="62">
        <v>758588562</v>
      </c>
      <c r="J38" s="31">
        <v>0.25640537311313544</v>
      </c>
      <c r="K38" s="62">
        <v>706404772</v>
      </c>
      <c r="L38" s="31">
        <v>0.2471342780489007</v>
      </c>
      <c r="M38" s="62">
        <v>697864357</v>
      </c>
      <c r="N38" s="31">
        <v>0.2295183315925742</v>
      </c>
      <c r="O38" s="62">
        <v>762569497</v>
      </c>
      <c r="P38" s="31">
        <v>0.24149013981098869</v>
      </c>
      <c r="Q38" s="62">
        <v>703247000</v>
      </c>
      <c r="R38" s="31">
        <v>0.25685297245808519</v>
      </c>
      <c r="S38" s="62">
        <v>838522704</v>
      </c>
      <c r="T38" s="31">
        <v>0.25265672669078759</v>
      </c>
      <c r="U38" s="62">
        <v>862465700</v>
      </c>
      <c r="V38" s="31">
        <v>0.26167580940153468</v>
      </c>
      <c r="W38" s="62">
        <v>841818300</v>
      </c>
      <c r="X38" s="31">
        <v>0.26167580940153468</v>
      </c>
      <c r="Y38" s="62">
        <v>801421158</v>
      </c>
      <c r="Z38" s="31">
        <v>0.26167580940153468</v>
      </c>
      <c r="AA38" s="62">
        <v>728669500</v>
      </c>
      <c r="AB38" s="31">
        <v>0.27282691724860414</v>
      </c>
      <c r="AC38" s="62">
        <v>855801450</v>
      </c>
      <c r="AD38" s="31">
        <v>0.26648489903040357</v>
      </c>
      <c r="AE38" s="33">
        <f t="shared" si="38"/>
        <v>737130250</v>
      </c>
      <c r="AF38" s="37">
        <f>IFERROR(AE38/AE$42,0)</f>
        <v>0.28545453700542944</v>
      </c>
      <c r="AG38" s="62">
        <v>697472229</v>
      </c>
      <c r="AH38" s="31">
        <v>0.2773027859762438</v>
      </c>
      <c r="AI38" s="62">
        <f>+AI28+AI7+AI19+AI10+AI13+AI16+AI22+AI25+AI31+AI34</f>
        <v>0</v>
      </c>
      <c r="AJ38" s="31" t="e">
        <f>+AI38/AI$42</f>
        <v>#DIV/0!</v>
      </c>
      <c r="AK38" s="33">
        <f t="shared" si="39"/>
        <v>9286404800</v>
      </c>
      <c r="AL38" s="37">
        <f>+AK38/AK$42</f>
        <v>0.27427310075397537</v>
      </c>
      <c r="AO38" s="16"/>
    </row>
    <row r="39" spans="2:41" x14ac:dyDescent="0.25">
      <c r="B39" s="10"/>
      <c r="C39" s="34"/>
      <c r="D39" s="63" t="s">
        <v>42</v>
      </c>
      <c r="E39" s="64">
        <f>[1]BASE_VENTA!K3</f>
        <v>11919250</v>
      </c>
      <c r="F39" s="65">
        <v>0.70051031991234736</v>
      </c>
      <c r="G39" s="66">
        <f>[1]BASE_VENTA!O36+E39</f>
        <v>104928650</v>
      </c>
      <c r="H39" s="67">
        <v>0.71569175466739898</v>
      </c>
      <c r="I39" s="66">
        <v>529043400</v>
      </c>
      <c r="J39" s="65">
        <v>0.69740492607111049</v>
      </c>
      <c r="K39" s="66">
        <v>501579100</v>
      </c>
      <c r="L39" s="65">
        <v>0.71004489193909348</v>
      </c>
      <c r="M39" s="66">
        <v>500059700</v>
      </c>
      <c r="N39" s="65">
        <v>0.71655715753942706</v>
      </c>
      <c r="O39" s="66">
        <v>543638800</v>
      </c>
      <c r="P39" s="65">
        <v>0.71290394139643909</v>
      </c>
      <c r="Q39" s="66">
        <v>503890300</v>
      </c>
      <c r="R39" s="65">
        <v>0.71651965810021234</v>
      </c>
      <c r="S39" s="66">
        <v>592607400</v>
      </c>
      <c r="T39" s="65">
        <v>0.71357063679599164</v>
      </c>
      <c r="U39" s="66">
        <v>617259590.17344654</v>
      </c>
      <c r="V39" s="65">
        <v>0.71357063679599164</v>
      </c>
      <c r="W39" s="66">
        <v>602482416.23812687</v>
      </c>
      <c r="X39" s="65">
        <v>0.71357063679599164</v>
      </c>
      <c r="Y39" s="66">
        <v>559106950</v>
      </c>
      <c r="Z39" s="65">
        <v>0.71357063679599164</v>
      </c>
      <c r="AA39" s="66">
        <v>504389200</v>
      </c>
      <c r="AB39" s="65">
        <v>0.71569175466739898</v>
      </c>
      <c r="AC39" s="66">
        <v>607327900</v>
      </c>
      <c r="AD39" s="65">
        <v>0.71569175466739898</v>
      </c>
      <c r="AE39" s="64">
        <f t="shared" si="38"/>
        <v>524643249.99999994</v>
      </c>
      <c r="AF39" s="67">
        <f>IFERROR(AE39/AE38,0)</f>
        <v>0.71173751178980915</v>
      </c>
      <c r="AG39" s="66">
        <v>490662575</v>
      </c>
      <c r="AH39" s="65">
        <v>0.72016685194988062</v>
      </c>
      <c r="AI39" s="62"/>
      <c r="AJ39" s="31"/>
      <c r="AK39" s="64">
        <f t="shared" si="39"/>
        <v>6545441400</v>
      </c>
      <c r="AL39" s="67">
        <v>0.71154259792062946</v>
      </c>
      <c r="AO39" s="16"/>
    </row>
    <row r="40" spans="2:41" x14ac:dyDescent="0.25">
      <c r="B40" s="10"/>
      <c r="C40" s="34"/>
      <c r="D40" s="63" t="s">
        <v>43</v>
      </c>
      <c r="E40" s="64">
        <f>[1]BASE_VENTA!K4</f>
        <v>2270150</v>
      </c>
      <c r="F40" s="65">
        <v>0.1815830775153244</v>
      </c>
      <c r="G40" s="66">
        <f>[1]BASE_VENTA!O37+E40</f>
        <v>20676600</v>
      </c>
      <c r="H40" s="67">
        <v>0.16802175241817355</v>
      </c>
      <c r="I40" s="66">
        <v>128542200</v>
      </c>
      <c r="J40" s="65">
        <v>0.16944916709672192</v>
      </c>
      <c r="K40" s="66">
        <v>115042700</v>
      </c>
      <c r="L40" s="65">
        <v>0.16285662917350735</v>
      </c>
      <c r="M40" s="66">
        <v>109725100</v>
      </c>
      <c r="N40" s="65">
        <v>0.15722983829076687</v>
      </c>
      <c r="O40" s="66">
        <v>131547600</v>
      </c>
      <c r="P40" s="65">
        <v>0.17250571982949378</v>
      </c>
      <c r="Q40" s="66">
        <v>122644100</v>
      </c>
      <c r="R40" s="65">
        <v>0.17439690464374538</v>
      </c>
      <c r="S40" s="66">
        <v>147645804</v>
      </c>
      <c r="T40" s="65">
        <v>0.17161564376813757</v>
      </c>
      <c r="U40" s="66">
        <v>144912998.31456673</v>
      </c>
      <c r="V40" s="65">
        <v>0.17161564376813757</v>
      </c>
      <c r="W40" s="66">
        <v>141443785.98368776</v>
      </c>
      <c r="X40" s="65">
        <v>0.17161564376813757</v>
      </c>
      <c r="Y40" s="66">
        <v>139086308</v>
      </c>
      <c r="Z40" s="65">
        <v>0.17161564376813757</v>
      </c>
      <c r="AA40" s="66">
        <v>123819450</v>
      </c>
      <c r="AB40" s="65">
        <v>0.16802175241817355</v>
      </c>
      <c r="AC40" s="66">
        <v>140935250</v>
      </c>
      <c r="AD40" s="65">
        <v>0.16802175241817355</v>
      </c>
      <c r="AE40" s="64">
        <f t="shared" si="38"/>
        <v>103383000</v>
      </c>
      <c r="AF40" s="67">
        <f>IFERROR(AE40/AE38,0)</f>
        <v>0.14025065448067014</v>
      </c>
      <c r="AG40" s="66">
        <v>112433000</v>
      </c>
      <c r="AH40" s="65">
        <v>0.15613973527171607</v>
      </c>
      <c r="AI40" s="62"/>
      <c r="AJ40" s="31"/>
      <c r="AK40" s="64">
        <f t="shared" si="39"/>
        <v>1472550800</v>
      </c>
      <c r="AL40" s="67">
        <v>0.16373948798486035</v>
      </c>
      <c r="AO40" s="16"/>
    </row>
    <row r="41" spans="2:41" x14ac:dyDescent="0.25">
      <c r="B41" s="10"/>
      <c r="C41" s="34"/>
      <c r="D41" s="63" t="s">
        <v>44</v>
      </c>
      <c r="E41" s="64">
        <f>[1]BASE_VENTA!K5</f>
        <v>1662350</v>
      </c>
      <c r="F41" s="65">
        <v>0.11790660257232823</v>
      </c>
      <c r="G41" s="66">
        <f>[1]BASE_VENTA!O38+E41</f>
        <v>18126050</v>
      </c>
      <c r="H41" s="67">
        <v>0.11628649291442747</v>
      </c>
      <c r="I41" s="66">
        <v>101002962</v>
      </c>
      <c r="J41" s="65">
        <v>0.13314590683216759</v>
      </c>
      <c r="K41" s="66">
        <v>89782972</v>
      </c>
      <c r="L41" s="65">
        <v>0.12709847888739914</v>
      </c>
      <c r="M41" s="66">
        <v>88079557</v>
      </c>
      <c r="N41" s="65">
        <v>0.12621300416980602</v>
      </c>
      <c r="O41" s="66">
        <v>87250797</v>
      </c>
      <c r="P41" s="65">
        <v>0.11441684639006745</v>
      </c>
      <c r="Q41" s="66">
        <v>76657000</v>
      </c>
      <c r="R41" s="65">
        <v>0.10900437541859404</v>
      </c>
      <c r="S41" s="66">
        <v>98269500</v>
      </c>
      <c r="T41" s="65">
        <v>0.11481371943587081</v>
      </c>
      <c r="U41" s="66">
        <v>100293111.51198673</v>
      </c>
      <c r="V41" s="65">
        <v>0.11481371943587081</v>
      </c>
      <c r="W41" s="66">
        <v>97892097.778185382</v>
      </c>
      <c r="X41" s="65">
        <v>0.11481371943587081</v>
      </c>
      <c r="Y41" s="66">
        <v>103227900</v>
      </c>
      <c r="Z41" s="65">
        <v>0.11481371943587081</v>
      </c>
      <c r="AA41" s="66">
        <v>100460850</v>
      </c>
      <c r="AB41" s="65">
        <v>0.11628649291442747</v>
      </c>
      <c r="AC41" s="66">
        <v>107538300</v>
      </c>
      <c r="AD41" s="65">
        <v>0.11628649291442747</v>
      </c>
      <c r="AE41" s="64">
        <f t="shared" si="38"/>
        <v>90630250</v>
      </c>
      <c r="AF41" s="67">
        <f>IFERROR(AE41/AE39,0)</f>
        <v>0.17274643293323608</v>
      </c>
      <c r="AG41" s="66">
        <v>94376654</v>
      </c>
      <c r="AH41" s="65">
        <v>0.12369341277840332</v>
      </c>
      <c r="AI41" s="62"/>
      <c r="AJ41" s="31"/>
      <c r="AK41" s="64">
        <f t="shared" si="39"/>
        <v>1194517600</v>
      </c>
      <c r="AL41" s="67">
        <v>0.12191414834221394</v>
      </c>
      <c r="AO41" s="16"/>
    </row>
    <row r="42" spans="2:41" ht="15.75" thickBot="1" x14ac:dyDescent="0.3">
      <c r="B42" s="10"/>
      <c r="C42" s="38"/>
      <c r="D42" s="39" t="s">
        <v>31</v>
      </c>
      <c r="E42" s="48">
        <f t="shared" ref="E42:H42" si="40">SUM(E37:E38)</f>
        <v>57188950</v>
      </c>
      <c r="F42" s="49">
        <f t="shared" si="40"/>
        <v>1</v>
      </c>
      <c r="G42" s="50">
        <f t="shared" si="40"/>
        <v>516460700</v>
      </c>
      <c r="H42" s="51">
        <f t="shared" si="40"/>
        <v>1</v>
      </c>
      <c r="I42" s="68">
        <v>2958551737</v>
      </c>
      <c r="J42" s="49">
        <v>1</v>
      </c>
      <c r="K42" s="68">
        <v>2858384428</v>
      </c>
      <c r="L42" s="49">
        <v>1</v>
      </c>
      <c r="M42" s="68">
        <v>3040560430</v>
      </c>
      <c r="N42" s="49">
        <v>1</v>
      </c>
      <c r="O42" s="68">
        <v>3157766597</v>
      </c>
      <c r="P42" s="49">
        <v>1</v>
      </c>
      <c r="Q42" s="68">
        <v>2737936000</v>
      </c>
      <c r="R42" s="49">
        <v>1</v>
      </c>
      <c r="S42" s="68">
        <v>3318822004</v>
      </c>
      <c r="T42" s="49">
        <v>1</v>
      </c>
      <c r="U42" s="68">
        <v>3295932100</v>
      </c>
      <c r="V42" s="49">
        <v>1</v>
      </c>
      <c r="W42" s="68">
        <v>3358852000</v>
      </c>
      <c r="X42" s="49">
        <v>1</v>
      </c>
      <c r="Y42" s="68">
        <v>3088552751</v>
      </c>
      <c r="Z42" s="49">
        <v>1</v>
      </c>
      <c r="AA42" s="68">
        <v>2670812350</v>
      </c>
      <c r="AB42" s="49">
        <v>1</v>
      </c>
      <c r="AC42" s="68">
        <v>3211444450</v>
      </c>
      <c r="AD42" s="49">
        <v>1</v>
      </c>
      <c r="AE42" s="48">
        <f>SUM(AE37:AE38)</f>
        <v>2582303500</v>
      </c>
      <c r="AF42" s="51">
        <f>SUM(AF37:AF38)</f>
        <v>1</v>
      </c>
      <c r="AG42" s="68">
        <v>2615520212</v>
      </c>
      <c r="AH42" s="49">
        <v>1</v>
      </c>
      <c r="AI42" s="69">
        <f t="shared" ref="AI42:AL42" si="41">SUM(AI37:AI38)</f>
        <v>0</v>
      </c>
      <c r="AJ42" s="41" t="e">
        <f t="shared" si="41"/>
        <v>#DIV/0!</v>
      </c>
      <c r="AK42" s="48">
        <f t="shared" si="41"/>
        <v>33858241200</v>
      </c>
      <c r="AL42" s="51">
        <f t="shared" si="41"/>
        <v>1</v>
      </c>
      <c r="AO42" s="16"/>
    </row>
    <row r="43" spans="2:41" ht="15.75" thickBot="1" x14ac:dyDescent="0.3">
      <c r="B43" s="10"/>
      <c r="C43" s="70"/>
      <c r="D43" s="70"/>
      <c r="E43" s="71"/>
      <c r="F43" s="72"/>
      <c r="G43" s="73"/>
      <c r="H43" s="74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O43" s="16"/>
    </row>
    <row r="44" spans="2:41" ht="34.15" customHeight="1" x14ac:dyDescent="0.25">
      <c r="B44" s="10"/>
      <c r="C44" s="75" t="s">
        <v>45</v>
      </c>
      <c r="D44" s="76"/>
      <c r="E44" s="18" t="s">
        <v>10</v>
      </c>
      <c r="F44" s="19" t="s">
        <v>11</v>
      </c>
      <c r="G44" s="19" t="s">
        <v>12</v>
      </c>
      <c r="H44" s="20" t="s">
        <v>11</v>
      </c>
      <c r="I44" s="22" t="s">
        <v>13</v>
      </c>
      <c r="J44" s="22" t="s">
        <v>11</v>
      </c>
      <c r="K44" s="22" t="s">
        <v>14</v>
      </c>
      <c r="L44" s="22" t="s">
        <v>11</v>
      </c>
      <c r="M44" s="22" t="s">
        <v>15</v>
      </c>
      <c r="N44" s="22" t="s">
        <v>11</v>
      </c>
      <c r="O44" s="22" t="s">
        <v>16</v>
      </c>
      <c r="P44" s="22" t="s">
        <v>11</v>
      </c>
      <c r="Q44" s="22" t="s">
        <v>17</v>
      </c>
      <c r="R44" s="22" t="s">
        <v>11</v>
      </c>
      <c r="S44" s="22" t="s">
        <v>18</v>
      </c>
      <c r="T44" s="22" t="s">
        <v>11</v>
      </c>
      <c r="U44" s="21" t="s">
        <v>19</v>
      </c>
      <c r="V44" s="21" t="s">
        <v>11</v>
      </c>
      <c r="W44" s="21" t="s">
        <v>20</v>
      </c>
      <c r="X44" s="21" t="s">
        <v>11</v>
      </c>
      <c r="Y44" s="22" t="s">
        <v>21</v>
      </c>
      <c r="Z44" s="22" t="s">
        <v>11</v>
      </c>
      <c r="AA44" s="22" t="s">
        <v>22</v>
      </c>
      <c r="AB44" s="21" t="s">
        <v>11</v>
      </c>
      <c r="AC44" s="22" t="s">
        <v>46</v>
      </c>
      <c r="AD44" s="22" t="s">
        <v>11</v>
      </c>
      <c r="AE44" s="18" t="s">
        <v>24</v>
      </c>
      <c r="AF44" s="20" t="s">
        <v>11</v>
      </c>
      <c r="AG44" s="22" t="s">
        <v>25</v>
      </c>
      <c r="AH44" s="22" t="s">
        <v>11</v>
      </c>
      <c r="AI44" s="23" t="s">
        <v>47</v>
      </c>
      <c r="AJ44" s="23" t="s">
        <v>11</v>
      </c>
      <c r="AK44" s="77" t="s">
        <v>27</v>
      </c>
      <c r="AL44" s="78" t="s">
        <v>11</v>
      </c>
      <c r="AO44" s="16"/>
    </row>
    <row r="45" spans="2:41" x14ac:dyDescent="0.25">
      <c r="B45" s="10"/>
      <c r="C45" s="79" t="s">
        <v>28</v>
      </c>
      <c r="D45" s="80"/>
      <c r="E45" s="81">
        <f>[1]Hoja1!G5</f>
        <v>4212631.5230999999</v>
      </c>
      <c r="F45" s="82">
        <f>E45/E8</f>
        <v>0.52146209359410778</v>
      </c>
      <c r="G45" s="83">
        <f>[1]BASE_VENTA!O42+E45</f>
        <v>18974323.745300002</v>
      </c>
      <c r="H45" s="84">
        <f>G45/G8</f>
        <v>0.25556727174806837</v>
      </c>
      <c r="I45" s="83">
        <v>95362858.640000001</v>
      </c>
      <c r="J45" s="82">
        <v>0.22861780971793338</v>
      </c>
      <c r="K45" s="83">
        <v>83305888.11999999</v>
      </c>
      <c r="L45" s="82">
        <v>0.21015630091255194</v>
      </c>
      <c r="M45" s="83">
        <v>93257780.769999996</v>
      </c>
      <c r="N45" s="82">
        <v>0.2233343333246729</v>
      </c>
      <c r="O45" s="83">
        <v>96386561.578299984</v>
      </c>
      <c r="P45" s="82">
        <v>0.22220092479432596</v>
      </c>
      <c r="Q45" s="83">
        <v>89784469.816999987</v>
      </c>
      <c r="R45" s="82">
        <v>0.23774090607398035</v>
      </c>
      <c r="S45" s="83">
        <v>103428114.8775</v>
      </c>
      <c r="T45" s="82">
        <v>0.22941970347578405</v>
      </c>
      <c r="U45" s="83">
        <v>102812838.32999998</v>
      </c>
      <c r="V45" s="82">
        <v>0.22792645707292955</v>
      </c>
      <c r="W45" s="83">
        <v>102786566.30473702</v>
      </c>
      <c r="X45" s="82">
        <v>0.22801025360524452</v>
      </c>
      <c r="Y45" s="83">
        <v>90022782.54899998</v>
      </c>
      <c r="Z45" s="82">
        <v>0.22801025360524452</v>
      </c>
      <c r="AA45" s="83">
        <v>79682457.346100003</v>
      </c>
      <c r="AB45" s="82">
        <v>0.22499765238257063</v>
      </c>
      <c r="AC45" s="83">
        <v>101955223.41279998</v>
      </c>
      <c r="AD45" s="82">
        <v>0.22825495637195523</v>
      </c>
      <c r="AE45" s="81">
        <f>(G45)/$N$2*26</f>
        <v>98666483.475560009</v>
      </c>
      <c r="AF45" s="84">
        <f>AE45/AE8</f>
        <v>0.26578996261799109</v>
      </c>
      <c r="AG45" s="83">
        <v>86539503.679999992</v>
      </c>
      <c r="AH45" s="82">
        <v>0.23565659156254748</v>
      </c>
      <c r="AI45" s="85">
        <v>100802183</v>
      </c>
      <c r="AJ45" s="86" t="e">
        <f>AI45/AI8</f>
        <v>#DIV/0!</v>
      </c>
      <c r="AK45" s="81">
        <f t="shared" ref="AK45:AK54" si="42">(AA45+AC45+AE45)/3*12</f>
        <v>1121216656.93784</v>
      </c>
      <c r="AL45" s="84">
        <f>AK45/AK8</f>
        <v>0.23915916218274927</v>
      </c>
      <c r="AO45" s="16"/>
    </row>
    <row r="46" spans="2:41" x14ac:dyDescent="0.25">
      <c r="B46" s="10"/>
      <c r="C46" s="87" t="s">
        <v>32</v>
      </c>
      <c r="D46" s="80"/>
      <c r="E46" s="81">
        <f>[1]Hoja1!G7</f>
        <v>2280526.8289999999</v>
      </c>
      <c r="F46" s="82">
        <f>E46/E11</f>
        <v>0.3299421040524313</v>
      </c>
      <c r="G46" s="83">
        <f>[1]BASE_VENTA!O43+E46</f>
        <v>15736269.568600001</v>
      </c>
      <c r="H46" s="84">
        <f>G46/G11</f>
        <v>0.26142219091168101</v>
      </c>
      <c r="I46" s="83">
        <v>87053051.75</v>
      </c>
      <c r="J46" s="82">
        <v>0.2373309984107832</v>
      </c>
      <c r="K46" s="83">
        <v>75049425.359999999</v>
      </c>
      <c r="L46" s="82">
        <v>0.21589602245973305</v>
      </c>
      <c r="M46" s="83">
        <v>88044130.159999996</v>
      </c>
      <c r="N46" s="82">
        <v>0.23497428087745412</v>
      </c>
      <c r="O46" s="83">
        <v>84152524.329999998</v>
      </c>
      <c r="P46" s="82">
        <v>0.22345398394274116</v>
      </c>
      <c r="Q46" s="83">
        <v>78430268.172199994</v>
      </c>
      <c r="R46" s="82">
        <v>0.23813819915001683</v>
      </c>
      <c r="S46" s="83">
        <v>95911744.378799975</v>
      </c>
      <c r="T46" s="82">
        <v>0.24574639049111224</v>
      </c>
      <c r="U46">
        <v>87519604.350000069</v>
      </c>
      <c r="V46" s="82">
        <v>0.22919260921200299</v>
      </c>
      <c r="W46">
        <v>95157518.721810982</v>
      </c>
      <c r="X46" s="82">
        <v>0.23769728057780976</v>
      </c>
      <c r="Y46" s="83">
        <v>79637961.568199992</v>
      </c>
      <c r="Z46" s="82">
        <v>0.23769728057780976</v>
      </c>
      <c r="AA46" s="83">
        <v>74311863.669399992</v>
      </c>
      <c r="AB46" s="82">
        <v>0.24961828831986346</v>
      </c>
      <c r="AC46" s="83">
        <v>81971721.341800004</v>
      </c>
      <c r="AD46" s="82">
        <v>0.22822071027241692</v>
      </c>
      <c r="AE46" s="81">
        <f t="shared" ref="AE46:AE54" si="43">(G46)/$N$2*26</f>
        <v>81828601.756720006</v>
      </c>
      <c r="AF46" s="84">
        <f>AE46/AE11</f>
        <v>0.27187907854814825</v>
      </c>
      <c r="AG46" s="83">
        <v>79733980.549999997</v>
      </c>
      <c r="AH46" s="82">
        <v>0.23944542275123831</v>
      </c>
      <c r="AI46" s="85">
        <v>93285919</v>
      </c>
      <c r="AJ46" s="82" t="e">
        <f>AI46/AI11</f>
        <v>#DIV/0!</v>
      </c>
      <c r="AK46" s="81">
        <f t="shared" si="42"/>
        <v>952448747.07168007</v>
      </c>
      <c r="AL46" s="84">
        <f>AK46/AK11</f>
        <v>0.24858931922211711</v>
      </c>
      <c r="AO46" s="16"/>
    </row>
    <row r="47" spans="2:41" x14ac:dyDescent="0.25">
      <c r="B47" s="10"/>
      <c r="C47" s="87" t="s">
        <v>33</v>
      </c>
      <c r="D47" s="80"/>
      <c r="E47" s="81">
        <f>[1]Hoja1!G8</f>
        <v>233186.02160000001</v>
      </c>
      <c r="F47" s="82">
        <f>IFERROR(E47/E14,0)</f>
        <v>0</v>
      </c>
      <c r="G47" s="83">
        <f>[1]BASE_VENTA!O44+E47</f>
        <v>3583732.3382000001</v>
      </c>
      <c r="H47" s="84">
        <f>G47/G14</f>
        <v>8.7729065806609547</v>
      </c>
      <c r="I47" s="83">
        <v>90345677.030000001</v>
      </c>
      <c r="J47" s="82">
        <v>0.24530100264190555</v>
      </c>
      <c r="K47" s="83">
        <v>72892230.25</v>
      </c>
      <c r="L47" s="82">
        <v>0.21817599603857912</v>
      </c>
      <c r="M47" s="83">
        <v>80811817.099999994</v>
      </c>
      <c r="N47" s="82">
        <v>0.23132621103740594</v>
      </c>
      <c r="O47" s="83">
        <v>82482749.364399999</v>
      </c>
      <c r="P47" s="82">
        <v>0.23512267094897968</v>
      </c>
      <c r="Q47" s="83">
        <v>73892237.229999989</v>
      </c>
      <c r="R47" s="82">
        <v>0.23947817839401181</v>
      </c>
      <c r="S47" s="83">
        <v>94919638.368100002</v>
      </c>
      <c r="T47" s="82">
        <v>0.24339429761835774</v>
      </c>
      <c r="U47" s="83">
        <v>95509998.370000079</v>
      </c>
      <c r="V47" s="82">
        <v>0.24118290576038545</v>
      </c>
      <c r="W47" s="83">
        <v>95368194.317731977</v>
      </c>
      <c r="X47" s="82">
        <v>0.23940149326334983</v>
      </c>
      <c r="Y47" s="83">
        <v>87626871.9991</v>
      </c>
      <c r="Z47" s="82">
        <v>0.23940149326334983</v>
      </c>
      <c r="AA47" s="83">
        <v>79340372.341999993</v>
      </c>
      <c r="AB47" s="82">
        <v>0.240805222729369</v>
      </c>
      <c r="AC47" s="83">
        <v>87239783.719999999</v>
      </c>
      <c r="AD47" s="82">
        <v>0.23529309009584629</v>
      </c>
      <c r="AE47" s="81">
        <f t="shared" si="43"/>
        <v>18635408.158640001</v>
      </c>
      <c r="AF47" s="84">
        <f>AE47/AE14</f>
        <v>9.1238228438873925</v>
      </c>
      <c r="AG47" s="83">
        <v>75888395.590000004</v>
      </c>
      <c r="AH47" s="82">
        <v>0.23811676496375941</v>
      </c>
      <c r="AI47" s="85">
        <v>93441298</v>
      </c>
      <c r="AJ47" s="82" t="e">
        <f>AI47/AI14</f>
        <v>#DIV/0!</v>
      </c>
      <c r="AK47" s="81">
        <f t="shared" si="42"/>
        <v>740862256.8825599</v>
      </c>
      <c r="AL47" s="84">
        <f>AK47/AK14</f>
        <v>0.26372989126490215</v>
      </c>
      <c r="AO47" s="16"/>
    </row>
    <row r="48" spans="2:41" x14ac:dyDescent="0.25">
      <c r="B48" s="10"/>
      <c r="C48" s="87" t="s">
        <v>34</v>
      </c>
      <c r="D48" s="80"/>
      <c r="E48" s="81">
        <f>[1]Hoja1!G9</f>
        <v>2942657.5373999998</v>
      </c>
      <c r="F48" s="82">
        <f>E48/E17</f>
        <v>0.43165826192955947</v>
      </c>
      <c r="G48" s="83">
        <f>[1]BASE_VENTA!O45+E48</f>
        <v>16915665.062100001</v>
      </c>
      <c r="H48" s="84">
        <f>G48/G17</f>
        <v>0.27346204963347182</v>
      </c>
      <c r="I48" s="83">
        <v>78377054.489999995</v>
      </c>
      <c r="J48" s="82">
        <v>0.23137776698525345</v>
      </c>
      <c r="K48" s="83">
        <v>66135845.789999999</v>
      </c>
      <c r="L48" s="82">
        <v>0.21439415065806702</v>
      </c>
      <c r="M48" s="83">
        <v>72779963.269999996</v>
      </c>
      <c r="N48" s="82">
        <v>0.22330302256625453</v>
      </c>
      <c r="O48" s="83">
        <v>76231187.799199998</v>
      </c>
      <c r="P48" s="82">
        <v>0.22757188433689188</v>
      </c>
      <c r="Q48" s="83">
        <v>72496141.129999995</v>
      </c>
      <c r="R48" s="82">
        <v>0.24481162896873435</v>
      </c>
      <c r="S48" s="83">
        <v>89210082.140200004</v>
      </c>
      <c r="T48" s="82">
        <v>0.23695936377810786</v>
      </c>
      <c r="U48" s="83">
        <v>83584479.850000069</v>
      </c>
      <c r="V48" s="82">
        <v>0.22903013716684811</v>
      </c>
      <c r="W48" s="83">
        <v>87191893.676481977</v>
      </c>
      <c r="X48" s="82">
        <v>0.24216284209093164</v>
      </c>
      <c r="Y48" s="83">
        <v>79946861.363599986</v>
      </c>
      <c r="Z48" s="82">
        <v>0.24216284209093164</v>
      </c>
      <c r="AA48" s="83">
        <v>69772860.580500007</v>
      </c>
      <c r="AB48" s="82">
        <v>0.22910142068743372</v>
      </c>
      <c r="AC48" s="83">
        <v>82919943.851199999</v>
      </c>
      <c r="AD48" s="82">
        <v>0.23741714438462405</v>
      </c>
      <c r="AE48" s="81">
        <f t="shared" si="43"/>
        <v>87961458.322919995</v>
      </c>
      <c r="AF48" s="84">
        <f>AE48/AE17</f>
        <v>0.28440053161881063</v>
      </c>
      <c r="AG48" s="83">
        <v>66713522.959999993</v>
      </c>
      <c r="AH48" s="82">
        <v>0.23699564770472506</v>
      </c>
      <c r="AI48" s="85">
        <v>88356399</v>
      </c>
      <c r="AJ48" s="82" t="e">
        <f>AI48/AI17</f>
        <v>#DIV/0!</v>
      </c>
      <c r="AK48" s="81">
        <f t="shared" si="42"/>
        <v>962617051.01848006</v>
      </c>
      <c r="AL48" s="84">
        <f>AK48/AK17</f>
        <v>0.24987572654207402</v>
      </c>
      <c r="AO48" s="16"/>
    </row>
    <row r="49" spans="2:41" x14ac:dyDescent="0.25">
      <c r="B49" s="10"/>
      <c r="C49" s="87" t="s">
        <v>35</v>
      </c>
      <c r="D49" s="80"/>
      <c r="E49" s="81">
        <f>[1]Hoja1!G6</f>
        <v>2467015.2514</v>
      </c>
      <c r="F49" s="82">
        <f>E49/E20</f>
        <v>0.37496906963559673</v>
      </c>
      <c r="G49" s="83">
        <f>[1]BASE_VENTA!O46+E49</f>
        <v>12339682.068699999</v>
      </c>
      <c r="H49" s="84">
        <f>G49/G20</f>
        <v>0.24659759628495342</v>
      </c>
      <c r="I49" s="83">
        <v>71560726.159999996</v>
      </c>
      <c r="J49" s="82">
        <v>0.23346271871643628</v>
      </c>
      <c r="K49" s="83">
        <v>63808937.640000001</v>
      </c>
      <c r="L49" s="82">
        <v>0.22294713323943963</v>
      </c>
      <c r="M49" s="83">
        <v>68765807.670000002</v>
      </c>
      <c r="N49" s="82">
        <v>0.23256969277459688</v>
      </c>
      <c r="O49" s="83">
        <v>70139847.476999998</v>
      </c>
      <c r="P49" s="82">
        <v>0.23605030997908724</v>
      </c>
      <c r="Q49" s="83">
        <v>62769186.230799995</v>
      </c>
      <c r="R49" s="82">
        <v>0.23577796178371702</v>
      </c>
      <c r="S49" s="83">
        <v>78696239.717199996</v>
      </c>
      <c r="T49" s="82">
        <v>0.24175413049817246</v>
      </c>
      <c r="U49" s="83">
        <v>77336613.290000021</v>
      </c>
      <c r="V49" s="82">
        <v>0.23167999705818831</v>
      </c>
      <c r="W49" s="83">
        <v>79714059.042863011</v>
      </c>
      <c r="X49" s="82">
        <v>0.2339173752434146</v>
      </c>
      <c r="Y49" s="83">
        <v>63343682.292799994</v>
      </c>
      <c r="Z49" s="82">
        <v>0.2339173752434146</v>
      </c>
      <c r="AA49" s="83">
        <v>56460645.716299996</v>
      </c>
      <c r="AB49" s="82">
        <v>0.24219298268786094</v>
      </c>
      <c r="AC49" s="83">
        <v>69277170.681400001</v>
      </c>
      <c r="AD49" s="82">
        <v>0.22706538026449871</v>
      </c>
      <c r="AE49" s="81">
        <f t="shared" si="43"/>
        <v>64166346.757239997</v>
      </c>
      <c r="AF49" s="84">
        <f>AE49/AE20</f>
        <v>0.25646150013635161</v>
      </c>
      <c r="AG49" s="83">
        <v>69227564.560000002</v>
      </c>
      <c r="AH49" s="82">
        <v>0.23493928247593965</v>
      </c>
      <c r="AI49" s="85">
        <v>86698509</v>
      </c>
      <c r="AJ49" s="82" t="e">
        <f>AI49/AI20</f>
        <v>#DIV/0!</v>
      </c>
      <c r="AK49" s="81">
        <f t="shared" si="42"/>
        <v>759616652.61976004</v>
      </c>
      <c r="AL49" s="84">
        <f>AK49/AK20</f>
        <v>0.2408669945568804</v>
      </c>
      <c r="AO49" s="16"/>
    </row>
    <row r="50" spans="2:41" x14ac:dyDescent="0.25">
      <c r="B50" s="10"/>
      <c r="C50" s="87" t="s">
        <v>36</v>
      </c>
      <c r="D50" s="80"/>
      <c r="E50" s="81">
        <f>[1]Hoja1!G9</f>
        <v>2942657.5373999998</v>
      </c>
      <c r="F50" s="82">
        <f>E50/E23</f>
        <v>0.57945720760884545</v>
      </c>
      <c r="G50" s="83">
        <f>[1]BASE_VENTA!O47+E50</f>
        <v>16915665.062100001</v>
      </c>
      <c r="H50" s="84">
        <f>G50/G23</f>
        <v>0.27040511315085902</v>
      </c>
      <c r="I50" s="83">
        <v>70746064.060000002</v>
      </c>
      <c r="J50" s="82">
        <v>0.22802196714701048</v>
      </c>
      <c r="K50" s="83">
        <v>62474356.210000001</v>
      </c>
      <c r="L50" s="82">
        <v>0.21328655261523999</v>
      </c>
      <c r="M50" s="83">
        <v>71256334.86999999</v>
      </c>
      <c r="N50" s="82">
        <v>0.23551898348585903</v>
      </c>
      <c r="O50" s="83">
        <v>74635911.522200003</v>
      </c>
      <c r="P50" s="82">
        <v>0.24502652144460635</v>
      </c>
      <c r="Q50" s="83">
        <v>63348376.331099994</v>
      </c>
      <c r="R50" s="82">
        <v>0.24042689803057427</v>
      </c>
      <c r="S50" s="83">
        <v>69517061.571999997</v>
      </c>
      <c r="T50" s="82">
        <v>0.2377805218052792</v>
      </c>
      <c r="U50" s="83">
        <v>69325366.26000002</v>
      </c>
      <c r="V50" s="82">
        <v>0.23644878906116776</v>
      </c>
      <c r="W50" s="83">
        <v>74640848.254335999</v>
      </c>
      <c r="X50" s="82">
        <v>0.24483222017834105</v>
      </c>
      <c r="Y50" s="83">
        <v>71219714.976199985</v>
      </c>
      <c r="Z50" s="82">
        <v>0.24483222017834105</v>
      </c>
      <c r="AA50" s="83">
        <v>65910288.406199992</v>
      </c>
      <c r="AB50" s="82">
        <v>0.23694826780177963</v>
      </c>
      <c r="AC50" s="83">
        <v>75295534.759599984</v>
      </c>
      <c r="AD50" s="82">
        <v>0.25293367473991712</v>
      </c>
      <c r="AE50" s="81">
        <f t="shared" si="43"/>
        <v>87961458.322919995</v>
      </c>
      <c r="AF50" s="84">
        <f>AE50/AE23</f>
        <v>0.28122131767689335</v>
      </c>
      <c r="AG50" s="83">
        <v>60415154.029999994</v>
      </c>
      <c r="AH50" s="82">
        <v>0.22699400540400819</v>
      </c>
      <c r="AI50" s="85">
        <v>31000710</v>
      </c>
      <c r="AJ50" s="82">
        <f>IFERROR(AI50/AI23,0)</f>
        <v>0</v>
      </c>
      <c r="AK50" s="81">
        <f t="shared" si="42"/>
        <v>916669125.95487976</v>
      </c>
      <c r="AL50" s="84">
        <f>AK50/AK23</f>
        <v>0.25788661844224592</v>
      </c>
      <c r="AO50" s="16"/>
    </row>
    <row r="51" spans="2:41" x14ac:dyDescent="0.25">
      <c r="B51" s="10"/>
      <c r="C51" s="87" t="s">
        <v>37</v>
      </c>
      <c r="D51" s="80"/>
      <c r="E51" s="81">
        <f>[1]Hoja1!G11</f>
        <v>1768311.2734000001</v>
      </c>
      <c r="F51" s="82">
        <f>IFERROR(E51/E26,0)</f>
        <v>0.45221882551210907</v>
      </c>
      <c r="G51" s="83">
        <f>[1]BASE_VENTA!O48+E51</f>
        <v>13240720.889899999</v>
      </c>
      <c r="H51" s="84">
        <f>G51/G26</f>
        <v>0.2591529621860828</v>
      </c>
      <c r="I51" s="83">
        <v>61279246.349999994</v>
      </c>
      <c r="J51" s="82">
        <v>0.2357174412818632</v>
      </c>
      <c r="K51" s="83">
        <v>46559869.789999999</v>
      </c>
      <c r="L51" s="82">
        <v>0.20940354238475151</v>
      </c>
      <c r="M51" s="83">
        <v>53569821.829999998</v>
      </c>
      <c r="N51" s="82">
        <v>0.21774271691071573</v>
      </c>
      <c r="O51" s="83">
        <v>62058634.148699991</v>
      </c>
      <c r="P51" s="82">
        <v>0.23603555805495721</v>
      </c>
      <c r="Q51" s="83">
        <v>52049818.7531</v>
      </c>
      <c r="R51" s="82">
        <v>0.23498184811090642</v>
      </c>
      <c r="S51" s="83">
        <v>67182249.096900001</v>
      </c>
      <c r="T51" s="82">
        <v>0.24124232801789688</v>
      </c>
      <c r="U51" s="83">
        <v>65488283.330000058</v>
      </c>
      <c r="V51" s="82">
        <v>0.23638975599490628</v>
      </c>
      <c r="W51" s="83">
        <v>70305190.461316988</v>
      </c>
      <c r="X51" s="82">
        <v>0.24540207177120088</v>
      </c>
      <c r="Y51" s="83">
        <v>67473250.542599991</v>
      </c>
      <c r="Z51" s="82">
        <v>0.24540207177120088</v>
      </c>
      <c r="AA51" s="83">
        <v>58550416.806699984</v>
      </c>
      <c r="AB51" s="82">
        <v>0.24098148862404659</v>
      </c>
      <c r="AC51" s="83">
        <v>64331952.803399995</v>
      </c>
      <c r="AD51" s="82">
        <v>0.24167278019282518</v>
      </c>
      <c r="AE51" s="81">
        <f t="shared" si="43"/>
        <v>68851748.627479985</v>
      </c>
      <c r="AF51" s="84">
        <f>AE51/AE26</f>
        <v>0.26951908067352609</v>
      </c>
      <c r="AG51" s="83">
        <v>49284026.119999997</v>
      </c>
      <c r="AH51" s="82">
        <v>0.23492416601360386</v>
      </c>
      <c r="AJ51" s="82">
        <f>IFERROR(AI51/AI26,0)</f>
        <v>0</v>
      </c>
      <c r="AK51" s="81">
        <f t="shared" si="42"/>
        <v>766936472.95031977</v>
      </c>
      <c r="AL51" s="84">
        <f>AK51/AK26</f>
        <v>0.25075660644728687</v>
      </c>
      <c r="AO51" s="16"/>
    </row>
    <row r="52" spans="2:41" x14ac:dyDescent="0.25">
      <c r="B52" s="10"/>
      <c r="C52" s="87" t="s">
        <v>38</v>
      </c>
      <c r="D52" s="80"/>
      <c r="E52" s="81">
        <f>[1]Hoja1!G4</f>
        <v>2311686.5386999999</v>
      </c>
      <c r="F52" s="82">
        <f>E52/E29</f>
        <v>0.40056949206376707</v>
      </c>
      <c r="G52" s="83">
        <f>[1]BASE_VENTA!O49+E52</f>
        <v>12683474.925099999</v>
      </c>
      <c r="H52" s="84">
        <f>G52/G29</f>
        <v>0.27492058478532044</v>
      </c>
      <c r="I52" s="83">
        <v>58374480.149999999</v>
      </c>
      <c r="J52" s="82">
        <v>0.24088619206468878</v>
      </c>
      <c r="K52" s="83">
        <v>52644720.589999996</v>
      </c>
      <c r="L52" s="82">
        <v>0.23427912462547848</v>
      </c>
      <c r="M52" s="83">
        <v>55353496.169999994</v>
      </c>
      <c r="N52" s="82">
        <v>0.2451832308203645</v>
      </c>
      <c r="O52" s="83">
        <v>57590118.270299993</v>
      </c>
      <c r="P52" s="82">
        <v>0.2408185493508431</v>
      </c>
      <c r="Q52" s="83">
        <v>54639133.2557</v>
      </c>
      <c r="R52" s="82">
        <v>0.25399846248396213</v>
      </c>
      <c r="S52" s="83">
        <v>62009891.332199991</v>
      </c>
      <c r="T52" s="82">
        <v>0.24799700904204836</v>
      </c>
      <c r="U52" s="83">
        <v>59092215.829999991</v>
      </c>
      <c r="V52" s="82">
        <v>0.23866375855677852</v>
      </c>
      <c r="W52" s="83">
        <v>59387474.686946012</v>
      </c>
      <c r="X52" s="82">
        <v>0.24317024396243911</v>
      </c>
      <c r="Y52" s="83">
        <v>57252365.556399994</v>
      </c>
      <c r="Z52" s="82">
        <v>0.24317024396243911</v>
      </c>
      <c r="AA52" s="83">
        <v>49550015.324599996</v>
      </c>
      <c r="AB52" s="82">
        <v>0.24225713826986897</v>
      </c>
      <c r="AC52" s="83">
        <v>56629708.94439999</v>
      </c>
      <c r="AD52" s="82">
        <v>0.23528655392298611</v>
      </c>
      <c r="AE52" s="81">
        <f t="shared" si="43"/>
        <v>65954069.61051999</v>
      </c>
      <c r="AF52" s="84">
        <f>AE52/AE29</f>
        <v>0.28591740817673328</v>
      </c>
      <c r="AG52" s="83">
        <v>56593485.689999998</v>
      </c>
      <c r="AH52" s="82">
        <v>0.25045749087467833</v>
      </c>
      <c r="AI52" s="85">
        <v>57265988</v>
      </c>
      <c r="AJ52" s="82">
        <f>IFERROR((AI52/AI29),0)</f>
        <v>0</v>
      </c>
      <c r="AK52" s="81">
        <f t="shared" si="42"/>
        <v>688535175.51808</v>
      </c>
      <c r="AL52" s="84">
        <f>AK52/AK29</f>
        <v>0.25467570528179673</v>
      </c>
      <c r="AO52" s="16"/>
    </row>
    <row r="53" spans="2:41" x14ac:dyDescent="0.25">
      <c r="B53" s="10"/>
      <c r="C53" s="87" t="s">
        <v>39</v>
      </c>
      <c r="D53" s="80"/>
      <c r="E53" s="81">
        <f>[1]Hoja1!G13</f>
        <v>2207619.7534999996</v>
      </c>
      <c r="F53" s="82">
        <f>E53/E32</f>
        <v>0.27155664598068757</v>
      </c>
      <c r="G53" s="83">
        <f>[1]BASE_VENTA!O50+E53</f>
        <v>13579157.984699998</v>
      </c>
      <c r="H53" s="84">
        <f>G53/G32</f>
        <v>0.26587456686876082</v>
      </c>
      <c r="I53" s="83">
        <v>49214428.969999999</v>
      </c>
      <c r="J53" s="82">
        <v>0.22668619009449678</v>
      </c>
      <c r="K53" s="83">
        <v>44771409.269999996</v>
      </c>
      <c r="L53" s="82">
        <v>0.22965634090154452</v>
      </c>
      <c r="M53" s="83">
        <v>51237626.509999998</v>
      </c>
      <c r="N53" s="82">
        <v>0.23871315623820077</v>
      </c>
      <c r="O53" s="83">
        <v>58057505.407300003</v>
      </c>
      <c r="P53" s="82">
        <v>0.25133815572076457</v>
      </c>
      <c r="Q53" s="83">
        <v>52903879.658699997</v>
      </c>
      <c r="R53" s="82">
        <v>0.2523498278456438</v>
      </c>
      <c r="S53" s="83">
        <v>63776009.971099995</v>
      </c>
      <c r="T53" s="82">
        <v>0.24763208445866466</v>
      </c>
      <c r="U53" s="83">
        <v>59878838.670000024</v>
      </c>
      <c r="V53" s="82">
        <v>0.23077542768279721</v>
      </c>
      <c r="W53" s="83">
        <v>66382773.423707992</v>
      </c>
      <c r="X53" s="82">
        <v>0.25109722187059991</v>
      </c>
      <c r="Y53" s="83">
        <v>60154558.274300009</v>
      </c>
      <c r="Z53" s="82">
        <v>0.25109722187059991</v>
      </c>
      <c r="AA53" s="83">
        <v>52864041.076700002</v>
      </c>
      <c r="AB53" s="82">
        <v>0.24934751073277378</v>
      </c>
      <c r="AC53" s="83">
        <v>65096629.740000002</v>
      </c>
      <c r="AD53" s="82">
        <v>0.24936608411197234</v>
      </c>
      <c r="AE53" s="81">
        <f t="shared" si="43"/>
        <v>70611621.520439982</v>
      </c>
      <c r="AF53" s="84">
        <f>AE53/AE32</f>
        <v>0.2765095495435112</v>
      </c>
      <c r="AG53" s="83">
        <v>47265074.5</v>
      </c>
      <c r="AH53" s="82">
        <v>0.25159232847795093</v>
      </c>
      <c r="AI53" s="88"/>
      <c r="AJ53" s="82">
        <f>IFERROR(AI53/AI32,0)</f>
        <v>0</v>
      </c>
      <c r="AK53" s="81">
        <f t="shared" si="42"/>
        <v>754289169.34855998</v>
      </c>
      <c r="AL53" s="84">
        <f>AK53/AK32</f>
        <v>0.2588764953476243</v>
      </c>
      <c r="AO53" s="16"/>
    </row>
    <row r="54" spans="2:41" ht="15.75" thickBot="1" x14ac:dyDescent="0.3">
      <c r="B54" s="10"/>
      <c r="C54" s="89" t="s">
        <v>40</v>
      </c>
      <c r="D54" s="80"/>
      <c r="E54" s="90">
        <f>[1]Hoja1!G12</f>
        <v>2512418.6661</v>
      </c>
      <c r="F54" s="91">
        <f>IFERROR(E54/E35,0)</f>
        <v>0.42489027178637262</v>
      </c>
      <c r="G54" s="92">
        <f>[1]BASE_VENTA!O51+E54</f>
        <v>13319825.592500001</v>
      </c>
      <c r="H54" s="93">
        <f>G54/G35</f>
        <v>0.22630230599462611</v>
      </c>
      <c r="I54" s="92">
        <v>40063449.159999996</v>
      </c>
      <c r="J54" s="91">
        <v>0.30491102828974553</v>
      </c>
      <c r="K54" s="92">
        <v>54964336.419999994</v>
      </c>
      <c r="L54" s="91">
        <v>0.21927259216249215</v>
      </c>
      <c r="M54" s="92">
        <v>64550150.559999995</v>
      </c>
      <c r="N54" s="91">
        <v>0.22384458132796681</v>
      </c>
      <c r="O54" s="92">
        <v>69515490.938599989</v>
      </c>
      <c r="P54" s="91">
        <v>0.21271394376886707</v>
      </c>
      <c r="Q54" s="92">
        <v>58661698.6809</v>
      </c>
      <c r="R54" s="91">
        <v>0.23438915416534145</v>
      </c>
      <c r="S54" s="92">
        <v>66681719.1985</v>
      </c>
      <c r="T54" s="91">
        <v>0.21699401784427144</v>
      </c>
      <c r="U54" s="92">
        <v>64406166.87000002</v>
      </c>
      <c r="V54" s="91">
        <v>0.22137633008999949</v>
      </c>
      <c r="W54" s="92">
        <v>71230271.622208983</v>
      </c>
      <c r="X54" s="91">
        <v>0.23083153355489247</v>
      </c>
      <c r="Y54" s="92">
        <v>62558788.161800005</v>
      </c>
      <c r="Z54" s="91">
        <v>0.23083153355489247</v>
      </c>
      <c r="AA54" s="92">
        <v>51572613.318800002</v>
      </c>
      <c r="AB54" s="91">
        <v>0.24084006904385921</v>
      </c>
      <c r="AC54" s="92">
        <v>71820812.5449</v>
      </c>
      <c r="AD54" s="91">
        <v>0.22810997223422963</v>
      </c>
      <c r="AE54" s="90">
        <f t="shared" si="43"/>
        <v>69263093.081000015</v>
      </c>
      <c r="AF54" s="93">
        <f>IFERROR(AE54/AE35,0)</f>
        <v>0.23535439823441121</v>
      </c>
      <c r="AG54" s="92">
        <v>5800547.8999999994</v>
      </c>
      <c r="AH54" s="91">
        <v>0</v>
      </c>
      <c r="AI54" s="94"/>
      <c r="AJ54" s="95">
        <f>IFERROR(AI54/AI35,0)</f>
        <v>0</v>
      </c>
      <c r="AK54" s="90">
        <f t="shared" si="42"/>
        <v>770626075.77880001</v>
      </c>
      <c r="AL54" s="93">
        <f>AK54/AK35</f>
        <v>0.23401070320685238</v>
      </c>
      <c r="AO54" s="16"/>
    </row>
    <row r="55" spans="2:41" ht="15.75" thickBot="1" x14ac:dyDescent="0.3">
      <c r="B55" s="10"/>
      <c r="C55" s="96"/>
      <c r="D55" s="97"/>
      <c r="E55" s="98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8"/>
      <c r="AF55" s="99"/>
      <c r="AG55" s="97"/>
      <c r="AH55" s="97"/>
      <c r="AI55" s="97"/>
      <c r="AJ55" s="97"/>
      <c r="AK55" s="97"/>
      <c r="AL55" s="97"/>
      <c r="AO55" s="16"/>
    </row>
    <row r="56" spans="2:41" ht="15.75" thickBot="1" x14ac:dyDescent="0.3">
      <c r="B56" s="10"/>
      <c r="C56" s="100" t="s">
        <v>48</v>
      </c>
      <c r="D56" s="80"/>
      <c r="E56" s="101">
        <f>SUM(E45:E54)</f>
        <v>23878710.931599997</v>
      </c>
      <c r="F56" s="102">
        <f>E56/E42</f>
        <v>0.4175406425821771</v>
      </c>
      <c r="G56" s="103">
        <f>SUM(G45:G54)</f>
        <v>137288517.23719999</v>
      </c>
      <c r="H56" s="104">
        <f>G56/G42</f>
        <v>0.26582568090311615</v>
      </c>
      <c r="I56" s="105">
        <v>702377036.75999987</v>
      </c>
      <c r="J56" s="102">
        <v>0.23740569684010898</v>
      </c>
      <c r="K56" s="105">
        <v>622607019.43999994</v>
      </c>
      <c r="L56" s="102">
        <v>0.21781780412078286</v>
      </c>
      <c r="M56" s="105">
        <v>699626928.90999997</v>
      </c>
      <c r="N56" s="102">
        <v>0.23009801811766653</v>
      </c>
      <c r="O56" s="105">
        <v>731250530.83599997</v>
      </c>
      <c r="P56" s="102">
        <v>0.2315720647405404</v>
      </c>
      <c r="Q56" s="105">
        <v>658975209.25949991</v>
      </c>
      <c r="R56" s="102">
        <v>0.24068320415798614</v>
      </c>
      <c r="S56" s="105">
        <v>791332750.65249991</v>
      </c>
      <c r="T56" s="102">
        <v>0.23843784020316502</v>
      </c>
      <c r="U56" s="105">
        <v>764954405.15000045</v>
      </c>
      <c r="V56" s="102">
        <v>0.23209046240667411</v>
      </c>
      <c r="W56" s="105">
        <v>802164790.51214087</v>
      </c>
      <c r="X56" s="102">
        <v>0.2388211182011416</v>
      </c>
      <c r="Y56" s="105">
        <v>719236837.28399992</v>
      </c>
      <c r="Z56" s="102">
        <v>0.2388211182011416</v>
      </c>
      <c r="AA56" s="105">
        <v>638015574.58729994</v>
      </c>
      <c r="AB56" s="102">
        <v>0.2388844632185784</v>
      </c>
      <c r="AC56" s="105">
        <v>756538481.79949999</v>
      </c>
      <c r="AD56" s="102">
        <v>0.23557576460632845</v>
      </c>
      <c r="AE56" s="106">
        <f>SUM(AE45:AE54)</f>
        <v>713900289.6334399</v>
      </c>
      <c r="AF56" s="104">
        <f>AE56/AE42</f>
        <v>0.27645870813924078</v>
      </c>
      <c r="AG56" s="105">
        <v>597461255.57999992</v>
      </c>
      <c r="AH56" s="102">
        <v>0.23812125720017729</v>
      </c>
      <c r="AI56" s="107">
        <f>SUM(AI45:AI54)</f>
        <v>550851006</v>
      </c>
      <c r="AJ56" s="108" t="e">
        <f>AI56/AI42</f>
        <v>#DIV/0!</v>
      </c>
      <c r="AK56" s="106">
        <f t="shared" ref="AK56" si="44">(AC56+AE56)/2*12</f>
        <v>8822632628.597641</v>
      </c>
      <c r="AL56" s="104">
        <f>AK56/AK42</f>
        <v>0.26057563287125618</v>
      </c>
      <c r="AO56" s="16"/>
    </row>
    <row r="57" spans="2:41" x14ac:dyDescent="0.25">
      <c r="B57" s="10"/>
      <c r="AO57" s="16"/>
    </row>
    <row r="58" spans="2:41" x14ac:dyDescent="0.25">
      <c r="B58" s="10"/>
      <c r="AO58" s="16"/>
    </row>
    <row r="59" spans="2:41" x14ac:dyDescent="0.25">
      <c r="B59" s="10"/>
      <c r="AO59" s="16"/>
    </row>
    <row r="60" spans="2:41" x14ac:dyDescent="0.25">
      <c r="B60" s="10"/>
      <c r="AO60" s="16"/>
    </row>
    <row r="61" spans="2:41" x14ac:dyDescent="0.25">
      <c r="B61" s="10"/>
      <c r="AO61" s="16"/>
    </row>
    <row r="62" spans="2:41" x14ac:dyDescent="0.25">
      <c r="B62" s="10"/>
      <c r="AO62" s="16"/>
    </row>
    <row r="63" spans="2:41" x14ac:dyDescent="0.25">
      <c r="B63" s="10"/>
      <c r="AO63" s="16"/>
    </row>
    <row r="64" spans="2:41" x14ac:dyDescent="0.25">
      <c r="B64" s="10"/>
      <c r="AO64" s="16"/>
    </row>
    <row r="65" spans="2:41" x14ac:dyDescent="0.25">
      <c r="B65" s="10"/>
      <c r="AO65" s="16"/>
    </row>
    <row r="66" spans="2:41" x14ac:dyDescent="0.25">
      <c r="B66" s="10"/>
      <c r="AO66" s="16"/>
    </row>
    <row r="67" spans="2:41" x14ac:dyDescent="0.25">
      <c r="B67" s="10"/>
      <c r="AO67" s="16"/>
    </row>
    <row r="68" spans="2:41" x14ac:dyDescent="0.25">
      <c r="B68" s="10"/>
      <c r="AO68" s="16"/>
    </row>
    <row r="69" spans="2:41" x14ac:dyDescent="0.25">
      <c r="B69" s="10"/>
      <c r="AO69" s="16"/>
    </row>
    <row r="70" spans="2:41" x14ac:dyDescent="0.25">
      <c r="B70" s="10"/>
      <c r="AO70" s="16"/>
    </row>
    <row r="71" spans="2:41" x14ac:dyDescent="0.25">
      <c r="B71" s="10"/>
      <c r="AO71" s="16"/>
    </row>
    <row r="72" spans="2:41" x14ac:dyDescent="0.25">
      <c r="B72" s="10"/>
      <c r="AO72" s="16"/>
    </row>
    <row r="73" spans="2:41" x14ac:dyDescent="0.25">
      <c r="B73" s="10"/>
      <c r="AO73" s="16"/>
    </row>
    <row r="74" spans="2:41" x14ac:dyDescent="0.25">
      <c r="B74" s="10"/>
      <c r="AO74" s="16"/>
    </row>
    <row r="75" spans="2:41" ht="15.75" thickBot="1" x14ac:dyDescent="0.3">
      <c r="B75" s="109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1"/>
    </row>
    <row r="77" spans="2:41" x14ac:dyDescent="0.25">
      <c r="E77" s="112"/>
    </row>
  </sheetData>
  <mergeCells count="13">
    <mergeCell ref="C37:C42"/>
    <mergeCell ref="C18:C20"/>
    <mergeCell ref="C21:C23"/>
    <mergeCell ref="C24:C26"/>
    <mergeCell ref="C27:C29"/>
    <mergeCell ref="C30:C32"/>
    <mergeCell ref="C33:C35"/>
    <mergeCell ref="D2:K2"/>
    <mergeCell ref="D3:K3"/>
    <mergeCell ref="C6:C8"/>
    <mergeCell ref="C9:C11"/>
    <mergeCell ref="C12:C14"/>
    <mergeCell ref="C15:C17"/>
  </mergeCells>
  <conditionalFormatting sqref="AE8 I8 K8 M8 O8 Q8 S8 U8 W8 Y8 AA8 AC8">
    <cfRule type="iconSet" priority="2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11 I11 K11 M11 O11 Q11 S11 U11 W11 Y11 AA11 AC11">
    <cfRule type="iconSet" priority="1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14 I14 K14 M14 O14 Q14 S14 U14 W14 Y14 AA14 AC14">
    <cfRule type="iconSet" priority="1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17 I17 K17 M17 O17 Q17 S17 U17 W17 Y17 AA17 AC17">
    <cfRule type="iconSet" priority="1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20 I20 K20 M20 O20 Q20 S20 U20 W20 Y20 AA20 AC20">
    <cfRule type="iconSet" priority="1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23 I23 K23 M23 O23 Q23 S23 U23 W23 Y23 AA23 AC23">
    <cfRule type="iconSet" priority="1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26 I26 K26 M26 O26 Q26 S26 U26 W26 Y26 AA26 AC26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29 I29 K29 M29 O29 Q29 S29 U29 W29 Y29 AA29 AC29">
    <cfRule type="iconSet" priority="1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32 I32 K32 M32 O32 Q32 S32 U32 W32 Y32 AA32 AC32"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E35 I35 K35 M35 O35 Q35 S35 U35 W35 Y35 AA35 AC35">
    <cfRule type="iconSet" priority="1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8">
    <cfRule type="iconSet" priority="1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11">
    <cfRule type="iconSet" priority="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14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17">
    <cfRule type="iconSet" priority="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20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23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26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29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3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G35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25" right="0.25" top="0.75" bottom="0.75" header="0.3" footer="0.3"/>
  <pageSetup scale="1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 DIARIO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 5</dc:creator>
  <cp:lastModifiedBy>Finanzas 5</cp:lastModifiedBy>
  <dcterms:created xsi:type="dcterms:W3CDTF">2026-04-08T14:19:45Z</dcterms:created>
  <dcterms:modified xsi:type="dcterms:W3CDTF">2026-04-08T14:20:57Z</dcterms:modified>
</cp:coreProperties>
</file>